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iasiyaka-my.sharepoint.com/personal/it_siyaka_lk/Documents/Desktop/28122021/"/>
    </mc:Choice>
  </mc:AlternateContent>
  <xr:revisionPtr revIDLastSave="96" documentId="8_{B20ACF06-5BD1-4FAA-ADC4-DEA6053E6EE1}" xr6:coauthVersionLast="47" xr6:coauthVersionMax="47" xr10:uidLastSave="{84415ABA-ADC2-4355-BD04-6F0B72B642DD}"/>
  <bookViews>
    <workbookView xWindow="-120" yWindow="-120" windowWidth="29040" windowHeight="15840" xr2:uid="{F3D20CA5-6952-4871-9618-BECAC0AD9335}"/>
  </bookViews>
  <sheets>
    <sheet name="Sheet1" sheetId="1" r:id="rId1"/>
  </sheets>
  <definedNames>
    <definedName name="_xlnm.Print_Area" localSheetId="0">Sheet1!$B$1:$I$27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4" i="1"/>
  <c r="D35" i="1"/>
  <c r="D36" i="1"/>
  <c r="D37" i="1"/>
  <c r="D38" i="1"/>
  <c r="D39" i="1"/>
  <c r="D32" i="1"/>
  <c r="E40" i="1"/>
  <c r="E27" i="1"/>
  <c r="D20" i="1" s="1"/>
  <c r="D6" i="1"/>
  <c r="D46" i="1"/>
  <c r="D47" i="1"/>
  <c r="D48" i="1"/>
  <c r="D49" i="1"/>
  <c r="D50" i="1"/>
  <c r="D51" i="1"/>
  <c r="D52" i="1"/>
  <c r="D45" i="1"/>
  <c r="E53" i="1"/>
  <c r="B8" i="1"/>
  <c r="B9" i="1" s="1"/>
  <c r="B10" i="1" s="1"/>
  <c r="B11" i="1" s="1"/>
  <c r="B12" i="1" s="1"/>
  <c r="B13" i="1" s="1"/>
  <c r="B7" i="1"/>
  <c r="B33" i="1"/>
  <c r="B34" i="1" s="1"/>
  <c r="B35" i="1" s="1"/>
  <c r="B36" i="1" s="1"/>
  <c r="B37" i="1" s="1"/>
  <c r="B38" i="1" s="1"/>
  <c r="B39" i="1" s="1"/>
  <c r="B20" i="1"/>
  <c r="B21" i="1" s="1"/>
  <c r="B22" i="1" s="1"/>
  <c r="B23" i="1" s="1"/>
  <c r="B24" i="1" s="1"/>
  <c r="B25" i="1" s="1"/>
  <c r="B26" i="1" s="1"/>
  <c r="B46" i="1"/>
  <c r="B47" i="1" s="1"/>
  <c r="B48" i="1" s="1"/>
  <c r="B49" i="1" s="1"/>
  <c r="B50" i="1" s="1"/>
  <c r="B51" i="1" s="1"/>
  <c r="B52" i="1" s="1"/>
  <c r="F45" i="1"/>
  <c r="E14" i="1"/>
  <c r="D19" i="1" l="1"/>
  <c r="D26" i="1"/>
  <c r="D25" i="1"/>
  <c r="D24" i="1"/>
  <c r="D23" i="1"/>
  <c r="D22" i="1"/>
  <c r="D21" i="1"/>
  <c r="D8" i="1"/>
  <c r="D7" i="1"/>
  <c r="D11" i="1"/>
  <c r="D13" i="1"/>
  <c r="D12" i="1"/>
  <c r="D9" i="1"/>
  <c r="D10" i="1"/>
</calcChain>
</file>

<file path=xl/sharedStrings.xml><?xml version="1.0" encoding="utf-8"?>
<sst xmlns="http://schemas.openxmlformats.org/spreadsheetml/2006/main" count="48" uniqueCount="15">
  <si>
    <t>CTB</t>
  </si>
  <si>
    <t>AS</t>
  </si>
  <si>
    <t>LC</t>
  </si>
  <si>
    <t>FW</t>
  </si>
  <si>
    <t>MB</t>
  </si>
  <si>
    <t>BC</t>
  </si>
  <si>
    <t>JK</t>
  </si>
  <si>
    <t>EB</t>
  </si>
  <si>
    <t>BROKER</t>
  </si>
  <si>
    <t xml:space="preserve">   %</t>
  </si>
  <si>
    <t xml:space="preserve">   QTY.</t>
  </si>
  <si>
    <t>SALE NO:35   MARKET SHARE (LOW FRESH TEAS)</t>
  </si>
  <si>
    <t>SALE NO:35  MARKET SHARE (HIGH &amp; MEDIUM  FRESH TEAS)</t>
  </si>
  <si>
    <t>SALE NO:35  MARKET SHARE ( TOTAL  FRESH TEAS)</t>
  </si>
  <si>
    <t>SALE NO:35   MARKET SHARE (EX-ESTATE)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</si>
</sst>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ahoma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.5"/>
      <name val="Tahoma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quotePrefix="1" applyFont="1" applyBorder="1"/>
    <xf numFmtId="0" fontId="3" fillId="2" borderId="1" xfId="0" applyFont="1" applyFill="1" applyBorder="1"/>
    <xf numFmtId="0" fontId="3" fillId="0" borderId="1" xfId="0" applyFont="1" applyBorder="1"/>
    <xf numFmtId="3" fontId="6" fillId="0" borderId="0" xfId="0" applyNumberFormat="1" applyFont="1"/>
    <xf numFmtId="3" fontId="7" fillId="0" borderId="1" xfId="0" applyNumberFormat="1" applyFont="1" applyBorder="1"/>
    <xf numFmtId="43" fontId="7" fillId="2" borderId="1" xfId="1" applyFont="1" applyFill="1" applyBorder="1"/>
    <xf numFmtId="3" fontId="7" fillId="2" borderId="1" xfId="0" applyNumberFormat="1" applyFont="1" applyFill="1" applyBorder="1"/>
    <xf numFmtId="43" fontId="7" fillId="0" borderId="1" xfId="1" applyFont="1" applyFill="1" applyBorder="1"/>
    <xf numFmtId="0" fontId="8" fillId="0" borderId="0" xfId="0" applyFont="1"/>
    <xf numFmtId="2" fontId="0" fillId="0" borderId="0" xfId="0" applyNumberFormat="1"/>
    <xf numFmtId="3" fontId="0" fillId="0" borderId="0" xfId="0" applyNumberFormat="1"/>
    <xf numFmtId="3" fontId="8" fillId="0" borderId="0" xfId="0" applyNumberFormat="1" applyFont="1"/>
    <xf numFmtId="3" fontId="9" fillId="2" borderId="1" xfId="0" applyNumberFormat="1" applyFont="1" applyFill="1" applyBorder="1" applyAlignment="1">
      <alignment horizontal="right" vertical="center"/>
    </xf>
    <xf numFmtId="0" fontId="0" fillId="0" borderId="1" xfId="0" applyBorder="1"/>
    <xf numFmtId="3" fontId="10" fillId="0" borderId="1" xfId="0" applyNumberFormat="1" applyFont="1" applyBorder="1"/>
    <xf numFmtId="3" fontId="4" fillId="0" borderId="1" xfId="0" applyNumberFormat="1" applyFont="1" applyBorder="1"/>
    <xf numFmtId="3" fontId="9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/>
    <xf numFmtId="3" fontId="0" fillId="0" borderId="0" xfId="0" applyNumberFormat="1" applyFont="1"/>
    <xf numFmtId="3" fontId="6" fillId="0" borderId="0" xfId="0" applyNumberFormat="1" applyFont="1" applyBorder="1"/>
    <xf numFmtId="3" fontId="6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D784-64C0-4B12-89AD-740C01A09B07}">
  <sheetPr>
    <pageSetUpPr fitToPage="1"/>
  </sheetPr>
  <dimension ref="B2:I53"/>
  <sheetViews>
    <sheetView tabSelected="1" topLeftCell="A3" workbookViewId="0">
      <selection activeCell="E14" sqref="E14"/>
    </sheetView>
  </sheetViews>
  <sheetFormatPr defaultRowHeight="15" x14ac:dyDescent="0.25"/>
  <cols>
    <col min="2" max="2" width="6.28515625" customWidth="1"/>
    <col min="4" max="4" width="9.28515625" bestFit="1" customWidth="1"/>
    <col min="5" max="5" width="10.5703125" bestFit="1" customWidth="1"/>
    <col min="8" max="8" width="9.5703125" bestFit="1" customWidth="1"/>
  </cols>
  <sheetData>
    <row r="2" spans="2:8" x14ac:dyDescent="0.25">
      <c r="E2" s="7"/>
    </row>
    <row r="3" spans="2:8" ht="18.75" x14ac:dyDescent="0.3">
      <c r="B3" s="1" t="s">
        <v>13</v>
      </c>
      <c r="D3" s="1"/>
      <c r="E3" s="1"/>
      <c r="F3" s="1"/>
      <c r="G3" s="1"/>
    </row>
    <row r="5" spans="2:8" ht="15.75" x14ac:dyDescent="0.25">
      <c r="C5" s="3" t="s">
        <v>8</v>
      </c>
      <c r="D5" s="4" t="s">
        <v>9</v>
      </c>
      <c r="E5" s="4" t="s">
        <v>10</v>
      </c>
    </row>
    <row r="6" spans="2:8" ht="15.75" x14ac:dyDescent="0.25">
      <c r="B6" s="5">
        <v>1</v>
      </c>
      <c r="C6" s="5" t="s">
        <v>3</v>
      </c>
      <c r="D6" s="9">
        <f>E6/$E$14*100</f>
        <v>20.725098425013972</v>
      </c>
      <c r="E6" s="10">
        <v>948106</v>
      </c>
      <c r="H6" s="13"/>
    </row>
    <row r="7" spans="2:8" ht="15.75" x14ac:dyDescent="0.25">
      <c r="B7" s="5">
        <f t="shared" ref="B7:B13" si="0">B6+1</f>
        <v>2</v>
      </c>
      <c r="C7" s="5" t="s">
        <v>0</v>
      </c>
      <c r="D7" s="9">
        <f t="shared" ref="D6:D13" si="1">E7/$E$14*100</f>
        <v>15.601784213984141</v>
      </c>
      <c r="E7" s="10">
        <v>713731</v>
      </c>
      <c r="H7" s="13"/>
    </row>
    <row r="8" spans="2:8" ht="15.75" x14ac:dyDescent="0.25">
      <c r="B8" s="5">
        <f t="shared" si="0"/>
        <v>3</v>
      </c>
      <c r="C8" s="5" t="s">
        <v>1</v>
      </c>
      <c r="D8" s="9">
        <f t="shared" si="1"/>
        <v>15.040564079353825</v>
      </c>
      <c r="E8" s="10">
        <v>688057</v>
      </c>
      <c r="H8" s="13"/>
    </row>
    <row r="9" spans="2:8" ht="15.75" x14ac:dyDescent="0.25">
      <c r="B9" s="6">
        <f t="shared" si="0"/>
        <v>4</v>
      </c>
      <c r="C9" s="6" t="s">
        <v>2</v>
      </c>
      <c r="D9" s="11">
        <f t="shared" si="1"/>
        <v>13.901707345143935</v>
      </c>
      <c r="E9" s="8">
        <v>635958</v>
      </c>
      <c r="H9" s="13"/>
    </row>
    <row r="10" spans="2:8" ht="15.75" x14ac:dyDescent="0.25">
      <c r="B10" s="6">
        <f t="shared" si="0"/>
        <v>5</v>
      </c>
      <c r="C10" s="6" t="s">
        <v>6</v>
      </c>
      <c r="D10" s="11">
        <f t="shared" si="1"/>
        <v>12.840746846415662</v>
      </c>
      <c r="E10" s="8">
        <v>587422.5</v>
      </c>
      <c r="H10" s="13"/>
    </row>
    <row r="11" spans="2:8" ht="15.75" x14ac:dyDescent="0.25">
      <c r="B11" s="6">
        <f t="shared" si="0"/>
        <v>6</v>
      </c>
      <c r="C11" s="6" t="s">
        <v>5</v>
      </c>
      <c r="D11" s="11">
        <f t="shared" si="1"/>
        <v>9.5414636513562545</v>
      </c>
      <c r="E11" s="8">
        <v>436491</v>
      </c>
      <c r="H11" s="13"/>
    </row>
    <row r="12" spans="2:8" ht="15.75" x14ac:dyDescent="0.25">
      <c r="B12" s="6">
        <f t="shared" si="0"/>
        <v>7</v>
      </c>
      <c r="C12" s="6" t="s">
        <v>4</v>
      </c>
      <c r="D12" s="11">
        <f t="shared" si="1"/>
        <v>9.0398105832861795</v>
      </c>
      <c r="E12" s="8">
        <v>413542</v>
      </c>
      <c r="H12" s="13"/>
    </row>
    <row r="13" spans="2:8" ht="15.75" x14ac:dyDescent="0.25">
      <c r="B13" s="6">
        <f t="shared" si="0"/>
        <v>8</v>
      </c>
      <c r="C13" s="6" t="s">
        <v>7</v>
      </c>
      <c r="D13" s="11">
        <f t="shared" si="1"/>
        <v>3.3088248554460313</v>
      </c>
      <c r="E13" s="8">
        <v>151368</v>
      </c>
      <c r="H13" s="13"/>
    </row>
    <row r="14" spans="2:8" x14ac:dyDescent="0.25">
      <c r="B14" s="12"/>
      <c r="C14" s="12"/>
      <c r="D14" s="12"/>
      <c r="E14" s="7">
        <f>SUM(E6:E13)</f>
        <v>4574675.5</v>
      </c>
      <c r="F14" s="12"/>
    </row>
    <row r="15" spans="2:8" x14ac:dyDescent="0.25">
      <c r="B15" s="12"/>
      <c r="C15" s="12"/>
      <c r="D15" s="12"/>
      <c r="E15" s="15"/>
      <c r="F15" s="12"/>
    </row>
    <row r="16" spans="2:8" ht="18.75" x14ac:dyDescent="0.3">
      <c r="B16" s="1" t="s">
        <v>14</v>
      </c>
      <c r="D16" s="1"/>
      <c r="E16" s="1"/>
      <c r="F16" s="1"/>
      <c r="G16" s="1"/>
    </row>
    <row r="18" spans="2:7" ht="15.75" x14ac:dyDescent="0.25">
      <c r="C18" s="3" t="s">
        <v>8</v>
      </c>
      <c r="D18" s="4" t="s">
        <v>9</v>
      </c>
      <c r="E18" s="4" t="s">
        <v>10</v>
      </c>
    </row>
    <row r="19" spans="2:7" ht="15.75" x14ac:dyDescent="0.25">
      <c r="B19" s="5">
        <v>1</v>
      </c>
      <c r="C19" s="5" t="s">
        <v>3</v>
      </c>
      <c r="D19" s="9">
        <f>E19/$E$27*100</f>
        <v>34.84544877651885</v>
      </c>
      <c r="E19" s="16">
        <v>264670</v>
      </c>
    </row>
    <row r="20" spans="2:7" ht="15.75" x14ac:dyDescent="0.25">
      <c r="B20" s="5">
        <f>B19+1</f>
        <v>2</v>
      </c>
      <c r="C20" s="5" t="s">
        <v>6</v>
      </c>
      <c r="D20" s="9">
        <f>E20/$E$27*100</f>
        <v>26.229866474273063</v>
      </c>
      <c r="E20" s="16">
        <v>199230</v>
      </c>
    </row>
    <row r="21" spans="2:7" ht="15.75" x14ac:dyDescent="0.25">
      <c r="B21" s="5">
        <f>B20+1</f>
        <v>3</v>
      </c>
      <c r="C21" s="5" t="s">
        <v>1</v>
      </c>
      <c r="D21" s="9">
        <f>E21/$E$27*100</f>
        <v>9.4581820384067505</v>
      </c>
      <c r="E21" s="16">
        <v>71840</v>
      </c>
    </row>
    <row r="22" spans="2:7" ht="15.75" x14ac:dyDescent="0.25">
      <c r="B22" s="6">
        <f>B21+1</f>
        <v>4</v>
      </c>
      <c r="C22" s="6" t="s">
        <v>7</v>
      </c>
      <c r="D22" s="11">
        <f>E22/$E$27*100</f>
        <v>9.1803874378911843</v>
      </c>
      <c r="E22" s="20">
        <v>69730</v>
      </c>
    </row>
    <row r="23" spans="2:7" ht="15.75" x14ac:dyDescent="0.25">
      <c r="B23" s="6">
        <f>B22+1</f>
        <v>5</v>
      </c>
      <c r="C23" s="6" t="s">
        <v>4</v>
      </c>
      <c r="D23" s="11">
        <f>E23/$E$27*100</f>
        <v>7.0915300294646597</v>
      </c>
      <c r="E23" s="20">
        <v>53864</v>
      </c>
    </row>
    <row r="24" spans="2:7" ht="15.75" x14ac:dyDescent="0.25">
      <c r="B24" s="6">
        <f>B23+1</f>
        <v>6</v>
      </c>
      <c r="C24" s="6" t="s">
        <v>2</v>
      </c>
      <c r="D24" s="11">
        <f>E24/$E$27*100</f>
        <v>6.6486385431450561</v>
      </c>
      <c r="E24" s="20">
        <v>50500</v>
      </c>
    </row>
    <row r="25" spans="2:7" ht="15.75" x14ac:dyDescent="0.25">
      <c r="B25" s="6">
        <f>B24+1</f>
        <v>7</v>
      </c>
      <c r="C25" s="6" t="s">
        <v>0</v>
      </c>
      <c r="D25" s="11">
        <f>E25/$E$27*100</f>
        <v>5.6585838531559309</v>
      </c>
      <c r="E25" s="20">
        <v>42980</v>
      </c>
    </row>
    <row r="26" spans="2:7" ht="15.75" x14ac:dyDescent="0.25">
      <c r="B26" s="6">
        <f>B25+1</f>
        <v>8</v>
      </c>
      <c r="C26" s="6" t="s">
        <v>5</v>
      </c>
      <c r="D26" s="11">
        <f>E26/$E$27*100</f>
        <v>0.88736284714450842</v>
      </c>
      <c r="E26" s="20">
        <v>6740</v>
      </c>
    </row>
    <row r="27" spans="2:7" x14ac:dyDescent="0.25">
      <c r="B27" s="12"/>
      <c r="C27" s="12"/>
      <c r="D27" s="12"/>
      <c r="E27" s="23">
        <f>SUM(E19:E26)</f>
        <v>759554</v>
      </c>
      <c r="F27" s="12"/>
    </row>
    <row r="28" spans="2:7" x14ac:dyDescent="0.25">
      <c r="B28" s="12"/>
      <c r="C28" s="12"/>
      <c r="D28" s="12"/>
      <c r="E28" s="22"/>
      <c r="F28" s="12"/>
    </row>
    <row r="29" spans="2:7" ht="18.75" x14ac:dyDescent="0.3">
      <c r="B29" s="1" t="s">
        <v>12</v>
      </c>
      <c r="D29" s="1"/>
      <c r="E29" s="1"/>
      <c r="F29" s="1"/>
      <c r="G29" s="1"/>
    </row>
    <row r="31" spans="2:7" ht="15.75" x14ac:dyDescent="0.25">
      <c r="C31" s="3" t="s">
        <v>8</v>
      </c>
      <c r="D31" s="4" t="s">
        <v>9</v>
      </c>
      <c r="E31" s="4" t="s">
        <v>10</v>
      </c>
    </row>
    <row r="32" spans="2:7" ht="15.75" x14ac:dyDescent="0.25">
      <c r="B32" s="5">
        <v>1</v>
      </c>
      <c r="C32" s="5" t="s">
        <v>3</v>
      </c>
      <c r="D32" s="9">
        <f>E32/$E$40*100</f>
        <v>30.541127137799734</v>
      </c>
      <c r="E32" s="10">
        <v>509251</v>
      </c>
      <c r="G32" s="13"/>
    </row>
    <row r="33" spans="2:9" ht="15.75" x14ac:dyDescent="0.25">
      <c r="B33" s="5">
        <f t="shared" ref="B33:B39" si="2">B32+1</f>
        <v>2</v>
      </c>
      <c r="C33" s="5" t="s">
        <v>6</v>
      </c>
      <c r="D33" s="9">
        <f t="shared" ref="D33:D39" si="3">E33/$E$40*100</f>
        <v>20.570555712483966</v>
      </c>
      <c r="E33" s="10">
        <v>342999</v>
      </c>
      <c r="G33" s="13"/>
    </row>
    <row r="34" spans="2:9" ht="15.75" x14ac:dyDescent="0.25">
      <c r="B34" s="5">
        <f t="shared" si="2"/>
        <v>3</v>
      </c>
      <c r="C34" s="5" t="s">
        <v>1</v>
      </c>
      <c r="D34" s="9">
        <f t="shared" si="3"/>
        <v>11.784443936676087</v>
      </c>
      <c r="E34" s="10">
        <v>196497</v>
      </c>
      <c r="G34" s="13"/>
    </row>
    <row r="35" spans="2:9" ht="15.75" x14ac:dyDescent="0.25">
      <c r="B35" s="6">
        <f t="shared" si="2"/>
        <v>4</v>
      </c>
      <c r="C35" s="6" t="s">
        <v>0</v>
      </c>
      <c r="D35" s="11">
        <f t="shared" si="3"/>
        <v>11.134520431779023</v>
      </c>
      <c r="E35" s="8">
        <v>185660</v>
      </c>
      <c r="G35" s="13"/>
    </row>
    <row r="36" spans="2:9" ht="15.75" x14ac:dyDescent="0.25">
      <c r="B36" s="6">
        <f t="shared" si="2"/>
        <v>5</v>
      </c>
      <c r="C36" s="6" t="s">
        <v>2</v>
      </c>
      <c r="D36" s="11">
        <f t="shared" si="3"/>
        <v>9.9198345714684955</v>
      </c>
      <c r="E36" s="8">
        <v>165406</v>
      </c>
      <c r="G36" s="13"/>
    </row>
    <row r="37" spans="2:9" ht="15.75" x14ac:dyDescent="0.25">
      <c r="B37" s="6">
        <f t="shared" si="2"/>
        <v>6</v>
      </c>
      <c r="C37" s="6" t="s">
        <v>7</v>
      </c>
      <c r="D37" s="11">
        <f t="shared" si="3"/>
        <v>8.7013104621671591</v>
      </c>
      <c r="E37" s="8">
        <v>145088</v>
      </c>
      <c r="G37" s="13"/>
    </row>
    <row r="38" spans="2:9" ht="15.75" x14ac:dyDescent="0.25">
      <c r="B38" s="6">
        <f t="shared" si="2"/>
        <v>7</v>
      </c>
      <c r="C38" s="6" t="s">
        <v>4</v>
      </c>
      <c r="D38" s="11">
        <f t="shared" si="3"/>
        <v>5.1783976150080333</v>
      </c>
      <c r="E38" s="8">
        <v>86346</v>
      </c>
      <c r="G38" s="13"/>
    </row>
    <row r="39" spans="2:9" ht="15.75" x14ac:dyDescent="0.25">
      <c r="B39" s="6">
        <f t="shared" si="2"/>
        <v>8</v>
      </c>
      <c r="C39" s="6" t="s">
        <v>5</v>
      </c>
      <c r="D39" s="11">
        <f t="shared" si="3"/>
        <v>2.1698101326174997</v>
      </c>
      <c r="E39" s="8">
        <v>36180</v>
      </c>
      <c r="G39" s="13"/>
    </row>
    <row r="40" spans="2:9" x14ac:dyDescent="0.25">
      <c r="E40" s="7">
        <f>SUM(E32:E39)</f>
        <v>1667427</v>
      </c>
    </row>
    <row r="42" spans="2:9" ht="18.75" x14ac:dyDescent="0.3">
      <c r="B42" s="1" t="s">
        <v>11</v>
      </c>
      <c r="D42" s="1"/>
      <c r="E42" s="1"/>
      <c r="F42" s="1"/>
      <c r="G42" s="1"/>
    </row>
    <row r="44" spans="2:9" ht="15.75" x14ac:dyDescent="0.25">
      <c r="B44" s="2"/>
      <c r="C44" s="3" t="s">
        <v>8</v>
      </c>
      <c r="D44" s="4" t="s">
        <v>9</v>
      </c>
      <c r="E44" s="4" t="s">
        <v>10</v>
      </c>
    </row>
    <row r="45" spans="2:9" ht="15.75" x14ac:dyDescent="0.25">
      <c r="B45" s="5">
        <v>1</v>
      </c>
      <c r="C45" s="5" t="s">
        <v>0</v>
      </c>
      <c r="D45" s="9">
        <f>E45/$E$53*100</f>
        <v>18.16394436182528</v>
      </c>
      <c r="E45" s="10">
        <v>528071</v>
      </c>
      <c r="F45" s="18">
        <f>E45-E46</f>
        <v>36511</v>
      </c>
      <c r="G45" s="14"/>
    </row>
    <row r="46" spans="2:9" ht="15.75" x14ac:dyDescent="0.25">
      <c r="B46" s="5">
        <f t="shared" ref="B46:B52" si="4">B45+1</f>
        <v>2</v>
      </c>
      <c r="C46" s="5" t="s">
        <v>1</v>
      </c>
      <c r="D46" s="9">
        <f t="shared" ref="D46:D52" si="5">E46/$E$53*100</f>
        <v>16.908083364734729</v>
      </c>
      <c r="E46" s="10">
        <v>491560</v>
      </c>
      <c r="F46" s="19"/>
      <c r="G46" s="14"/>
    </row>
    <row r="47" spans="2:9" ht="15.75" x14ac:dyDescent="0.25">
      <c r="B47" s="5">
        <f t="shared" si="4"/>
        <v>3</v>
      </c>
      <c r="C47" s="5" t="s">
        <v>2</v>
      </c>
      <c r="D47" s="9">
        <f t="shared" si="5"/>
        <v>16.185475716988073</v>
      </c>
      <c r="E47" s="10">
        <v>470552</v>
      </c>
      <c r="F47" s="21"/>
      <c r="I47" s="14"/>
    </row>
    <row r="48" spans="2:9" ht="15.75" x14ac:dyDescent="0.25">
      <c r="B48" s="6">
        <f t="shared" si="4"/>
        <v>4</v>
      </c>
      <c r="C48" s="6" t="s">
        <v>3</v>
      </c>
      <c r="D48" s="11">
        <f t="shared" si="5"/>
        <v>15.095200840244653</v>
      </c>
      <c r="E48" s="8">
        <v>438855</v>
      </c>
      <c r="F48" s="17"/>
    </row>
    <row r="49" spans="2:7" ht="15.75" x14ac:dyDescent="0.25">
      <c r="B49" s="6">
        <f t="shared" si="4"/>
        <v>5</v>
      </c>
      <c r="C49" s="6" t="s">
        <v>5</v>
      </c>
      <c r="D49" s="11">
        <f t="shared" si="5"/>
        <v>13.769411180365216</v>
      </c>
      <c r="E49" s="8">
        <v>400311</v>
      </c>
      <c r="F49" s="17"/>
    </row>
    <row r="50" spans="2:7" ht="15.75" x14ac:dyDescent="0.25">
      <c r="B50" s="6">
        <f t="shared" si="4"/>
        <v>6</v>
      </c>
      <c r="C50" s="6" t="s">
        <v>4</v>
      </c>
      <c r="D50" s="11">
        <f t="shared" si="5"/>
        <v>11.254490285230176</v>
      </c>
      <c r="E50" s="8">
        <v>327196</v>
      </c>
      <c r="F50" s="17"/>
      <c r="G50" s="14"/>
    </row>
    <row r="51" spans="2:7" ht="15.75" x14ac:dyDescent="0.25">
      <c r="B51" s="6">
        <f t="shared" si="4"/>
        <v>7</v>
      </c>
      <c r="C51" s="6" t="s">
        <v>6</v>
      </c>
      <c r="D51" s="11">
        <f t="shared" si="5"/>
        <v>8.4073824442595821</v>
      </c>
      <c r="E51" s="8">
        <v>244423.5</v>
      </c>
      <c r="F51" s="17"/>
    </row>
    <row r="52" spans="2:7" ht="15.75" x14ac:dyDescent="0.25">
      <c r="B52" s="6">
        <f t="shared" si="4"/>
        <v>8</v>
      </c>
      <c r="C52" s="6" t="s">
        <v>7</v>
      </c>
      <c r="D52" s="11">
        <f t="shared" si="5"/>
        <v>0.21601180635229494</v>
      </c>
      <c r="E52" s="8">
        <v>6280</v>
      </c>
      <c r="F52" s="17"/>
    </row>
    <row r="53" spans="2:7" x14ac:dyDescent="0.25">
      <c r="E53" s="24">
        <f>SUM(E45:E52)</f>
        <v>2907248.5</v>
      </c>
    </row>
  </sheetData>
  <sortState xmlns:xlrd2="http://schemas.microsoft.com/office/spreadsheetml/2017/richdata2" ref="B19:E26">
    <sortCondition descending="1" ref="D19:D26"/>
  </sortState>
  <pageMargins left="0.7" right="0.7" top="0.5" bottom="0.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Rishan</dc:creator>
  <cp:lastModifiedBy>Rishan Ranawaka</cp:lastModifiedBy>
  <cp:lastPrinted>2026-02-09T12:21:36Z</cp:lastPrinted>
  <dcterms:created xsi:type="dcterms:W3CDTF">2023-07-14T09:21:18Z</dcterms:created>
  <dcterms:modified xsi:type="dcterms:W3CDTF">2026-08-21T07:35:31Z</dcterms:modified>
</cp:coreProperties>
</file>