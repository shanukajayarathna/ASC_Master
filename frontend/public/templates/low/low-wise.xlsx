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iasiyaka-my.sharepoint.com/personal/itsupport_siyaka_lk/Documents/Desktop/"/>
    </mc:Choice>
  </mc:AlternateContent>
  <xr:revisionPtr revIDLastSave="0" documentId="8_{E0E4137B-7C19-4C76-9029-F9CEA57A32B5}" xr6:coauthVersionLast="47" xr6:coauthVersionMax="47" xr10:uidLastSave="{00000000-0000-0000-0000-000000000000}"/>
  <bookViews>
    <workbookView xWindow="-120" yWindow="-120" windowWidth="29040" windowHeight="15720" tabRatio="482" xr2:uid="{00000000-000D-0000-FFFF-FFFF00000000}"/>
  </bookViews>
  <sheets>
    <sheet name="LOW FAC-30" sheetId="1" r:id="rId1"/>
    <sheet name="Sheet1" sheetId="2" r:id="rId2"/>
  </sheets>
  <definedNames>
    <definedName name="_xlnm._FilterDatabase" localSheetId="0" hidden="1">'LOW FAC-30'!$B$18:$J$354</definedName>
    <definedName name="_xlnm.Print_Area" localSheetId="0">'LOW FAC-30'!$A$1:$K$355</definedName>
    <definedName name="_xlnm.Print_Titles" localSheetId="0">'LOW FAC-30'!$16:$17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0" i="1" l="1"/>
  <c r="I305" i="1"/>
  <c r="I103" i="1"/>
  <c r="I199" i="1"/>
  <c r="I89" i="1"/>
  <c r="I191" i="1"/>
  <c r="I347" i="1"/>
  <c r="I105" i="1"/>
  <c r="I287" i="1"/>
  <c r="I162" i="1"/>
  <c r="I159" i="1"/>
  <c r="I267" i="1" l="1"/>
  <c r="I306" i="1"/>
  <c r="I343" i="1"/>
  <c r="I271" i="1"/>
  <c r="I188" i="1"/>
  <c r="I110" i="1"/>
  <c r="I239" i="1"/>
  <c r="I311" i="1"/>
  <c r="I48" i="1"/>
  <c r="I39" i="1"/>
  <c r="I132" i="1"/>
  <c r="I72" i="1"/>
  <c r="I232" i="1"/>
  <c r="I143" i="1"/>
  <c r="I86" i="1"/>
  <c r="I353" i="1"/>
  <c r="I50" i="1"/>
  <c r="I330" i="1"/>
  <c r="I33" i="1"/>
  <c r="I141" i="1" l="1"/>
  <c r="I237" i="1" l="1"/>
  <c r="I307" i="1"/>
  <c r="I130" i="1"/>
  <c r="I298" i="1"/>
  <c r="I148" i="1"/>
  <c r="I211" i="1" l="1"/>
  <c r="I272" i="1"/>
  <c r="I19" i="1"/>
  <c r="I212" i="1"/>
  <c r="I77" i="1" l="1"/>
  <c r="I198" i="1" l="1"/>
  <c r="I104" i="1" l="1"/>
  <c r="I68" i="1" l="1"/>
  <c r="I164" i="1" l="1"/>
  <c r="I279" i="1" l="1"/>
  <c r="I336" i="1"/>
  <c r="I180" i="1" l="1"/>
  <c r="I338" i="1" l="1"/>
  <c r="I329" i="1" l="1"/>
  <c r="I205" i="1" l="1"/>
  <c r="I170" i="1" l="1"/>
  <c r="I74" i="1"/>
  <c r="I84" i="1"/>
  <c r="I56" i="1" l="1"/>
  <c r="I71" i="1"/>
  <c r="I297" i="1" l="1"/>
  <c r="I157" i="1"/>
  <c r="I303" i="1"/>
  <c r="I221" i="1" l="1"/>
  <c r="I320" i="1"/>
  <c r="I247" i="1"/>
  <c r="I223" i="1"/>
  <c r="I256" i="1" l="1"/>
  <c r="I292" i="1"/>
  <c r="I176" i="1"/>
  <c r="I246" i="1"/>
  <c r="I252" i="1"/>
  <c r="I35" i="1"/>
  <c r="I291" i="1"/>
  <c r="I155" i="1"/>
  <c r="I217" i="1"/>
  <c r="I127" i="1"/>
  <c r="I289" i="1"/>
  <c r="I214" i="1"/>
  <c r="I61" i="1"/>
  <c r="I268" i="1"/>
  <c r="I22" i="1" l="1"/>
  <c r="I163" i="1"/>
  <c r="I284" i="1"/>
  <c r="I31" i="1"/>
  <c r="I169" i="1"/>
  <c r="I177" i="1"/>
  <c r="I189" i="1"/>
  <c r="I115" i="1"/>
  <c r="I322" i="1"/>
  <c r="I93" i="1"/>
  <c r="I243" i="1"/>
  <c r="I200" i="1"/>
  <c r="I125" i="1"/>
  <c r="I111" i="1"/>
  <c r="I229" i="1"/>
  <c r="I142" i="1"/>
  <c r="I253" i="1"/>
  <c r="I168" i="1"/>
  <c r="I135" i="1"/>
  <c r="I183" i="1"/>
  <c r="I274" i="1"/>
  <c r="I285" i="1"/>
  <c r="I43" i="1"/>
  <c r="I352" i="1"/>
  <c r="I165" i="1"/>
  <c r="I59" i="1"/>
  <c r="I101" i="1"/>
  <c r="I280" i="1"/>
  <c r="I78" i="1"/>
  <c r="I264" i="1"/>
  <c r="I126" i="1"/>
  <c r="I331" i="1"/>
  <c r="I102" i="1"/>
  <c r="I317" i="1"/>
  <c r="I187" i="1"/>
  <c r="I234" i="1"/>
  <c r="I341" i="1"/>
  <c r="I92" i="1"/>
  <c r="I348" i="1"/>
  <c r="I345" i="1"/>
  <c r="I242" i="1"/>
  <c r="I275" i="1"/>
  <c r="I112" i="1"/>
  <c r="I153" i="1"/>
  <c r="I192" i="1"/>
  <c r="I332" i="1"/>
  <c r="I215" i="1"/>
  <c r="I283" i="1"/>
  <c r="I218" i="1"/>
  <c r="I158" i="1"/>
  <c r="I51" i="1"/>
  <c r="I144" i="1"/>
  <c r="I184" i="1"/>
  <c r="I346" i="1"/>
  <c r="I88" i="1"/>
  <c r="I54" i="1"/>
  <c r="I175" i="1"/>
  <c r="I49" i="1"/>
  <c r="I278" i="1"/>
  <c r="I266" i="1"/>
  <c r="I276" i="1"/>
  <c r="I308" i="1"/>
  <c r="I116" i="1"/>
  <c r="I70" i="1"/>
  <c r="I99" i="1"/>
  <c r="I173" i="1"/>
  <c r="I326" i="1"/>
  <c r="I80" i="1"/>
  <c r="I32" i="1"/>
  <c r="I254" i="1"/>
  <c r="I281" i="1"/>
  <c r="I208" i="1"/>
  <c r="I315" i="1"/>
  <c r="I34" i="1"/>
  <c r="I245" i="1"/>
  <c r="I36" i="1"/>
  <c r="I85" i="1"/>
  <c r="I134" i="1"/>
  <c r="I235" i="1"/>
  <c r="I197" i="1"/>
  <c r="I202" i="1"/>
  <c r="I225" i="1"/>
  <c r="I121" i="1"/>
  <c r="I251" i="1"/>
  <c r="I46" i="1"/>
  <c r="I26" i="1"/>
  <c r="I82" i="1"/>
  <c r="I37" i="1"/>
  <c r="I137" i="1"/>
  <c r="I244" i="1"/>
  <c r="I27" i="1"/>
  <c r="I316" i="1"/>
  <c r="I265" i="1"/>
  <c r="I30" i="1"/>
  <c r="I28" i="1"/>
  <c r="I296" i="1"/>
  <c r="I238" i="1"/>
  <c r="I108" i="1"/>
  <c r="I53" i="1"/>
  <c r="I66" i="1"/>
  <c r="I40" i="1"/>
  <c r="I172" i="1"/>
  <c r="I109" i="1"/>
  <c r="I100" i="1"/>
  <c r="I319" i="1"/>
  <c r="I301" i="1"/>
  <c r="I207" i="1"/>
  <c r="I257" i="1"/>
  <c r="I294" i="1"/>
  <c r="I290" i="1"/>
  <c r="I231" i="1"/>
  <c r="I114" i="1"/>
  <c r="I327" i="1"/>
  <c r="I69" i="1"/>
  <c r="I24" i="1"/>
  <c r="I310" i="1"/>
  <c r="I107" i="1"/>
  <c r="I262" i="1"/>
  <c r="I96" i="1"/>
  <c r="I138" i="1"/>
  <c r="I269" i="1"/>
  <c r="I206" i="1"/>
  <c r="I118" i="1"/>
  <c r="I23" i="1"/>
  <c r="I45" i="1"/>
  <c r="I75" i="1"/>
  <c r="I293" i="1"/>
  <c r="I90" i="1"/>
  <c r="I160" i="1"/>
  <c r="I63" i="1"/>
  <c r="I149" i="1"/>
  <c r="I25" i="1"/>
  <c r="I342" i="1"/>
  <c r="I209" i="1"/>
  <c r="I151" i="1"/>
  <c r="I194" i="1"/>
  <c r="I230" i="1"/>
  <c r="I129" i="1"/>
  <c r="I309" i="1"/>
  <c r="I313" i="1"/>
  <c r="I259" i="1"/>
  <c r="I52" i="1"/>
  <c r="I67" i="1"/>
  <c r="I195" i="1"/>
  <c r="I201" i="1"/>
  <c r="I76" i="1"/>
  <c r="I282" i="1"/>
  <c r="I128" i="1"/>
  <c r="I210" i="1"/>
  <c r="I97" i="1"/>
  <c r="I140" i="1"/>
  <c r="I226" i="1"/>
  <c r="I145" i="1"/>
  <c r="I224" i="1"/>
  <c r="I241" i="1"/>
  <c r="I117" i="1"/>
  <c r="I222" i="1"/>
  <c r="I350" i="1"/>
  <c r="I42" i="1"/>
  <c r="I73" i="1"/>
  <c r="I351" i="1"/>
  <c r="I174" i="1"/>
  <c r="I213" i="1"/>
  <c r="I328" i="1"/>
  <c r="I340" i="1"/>
  <c r="I47" i="1"/>
  <c r="I38" i="1"/>
  <c r="I64" i="1"/>
  <c r="I337" i="1"/>
  <c r="I29" i="1"/>
  <c r="I304" i="1"/>
  <c r="I62" i="1"/>
  <c r="I273" i="1"/>
  <c r="I131" i="1"/>
  <c r="I178" i="1"/>
  <c r="I147" i="1"/>
  <c r="I167" i="1"/>
  <c r="I95" i="1"/>
  <c r="I152" i="1"/>
  <c r="I124" i="1"/>
  <c r="I318" i="1"/>
  <c r="I18" i="1"/>
  <c r="I154" i="1"/>
  <c r="I119" i="1"/>
  <c r="I146" i="1"/>
  <c r="I133" i="1"/>
  <c r="I286" i="1"/>
  <c r="I57" i="1"/>
  <c r="I334" i="1"/>
  <c r="I193" i="1"/>
  <c r="I94" i="1"/>
  <c r="I227" i="1"/>
  <c r="I65" i="1"/>
  <c r="I240" i="1"/>
  <c r="I21" i="1"/>
  <c r="I20" i="1"/>
  <c r="I314" i="1"/>
  <c r="I120" i="1"/>
  <c r="I41" i="1"/>
  <c r="I139" i="1"/>
  <c r="I260" i="1"/>
  <c r="I344" i="1"/>
  <c r="I156" i="1"/>
  <c r="I190" i="1"/>
  <c r="I295" i="1"/>
  <c r="I302" i="1"/>
  <c r="I106" i="1"/>
  <c r="I261" i="1"/>
  <c r="I185" i="1"/>
  <c r="I216" i="1"/>
  <c r="I299" i="1"/>
  <c r="I263" i="1"/>
  <c r="I203" i="1"/>
  <c r="I277" i="1"/>
  <c r="I79" i="1"/>
  <c r="I182" i="1"/>
  <c r="I81" i="1"/>
  <c r="I335" i="1"/>
  <c r="I228" i="1"/>
  <c r="I58" i="1"/>
  <c r="I324" i="1"/>
  <c r="I248" i="1"/>
  <c r="I339" i="1"/>
  <c r="I233" i="1"/>
  <c r="I136" i="1"/>
  <c r="I171" i="1"/>
  <c r="I312" i="1"/>
  <c r="I91" i="1"/>
  <c r="I250" i="1"/>
  <c r="I288" i="1"/>
  <c r="I161" i="1"/>
  <c r="I83" i="1"/>
  <c r="I325" i="1"/>
  <c r="I98" i="1"/>
  <c r="I255" i="1"/>
  <c r="I55" i="1"/>
  <c r="I354" i="1"/>
  <c r="I249" i="1"/>
  <c r="I186" i="1"/>
  <c r="I333" i="1"/>
  <c r="I204" i="1"/>
  <c r="I179" i="1"/>
  <c r="I60" i="1"/>
  <c r="I122" i="1"/>
  <c r="I258" i="1"/>
  <c r="I219" i="1"/>
  <c r="I323" i="1"/>
  <c r="I321" i="1"/>
  <c r="I87" i="1"/>
  <c r="I44" i="1"/>
  <c r="I196" i="1"/>
  <c r="I150" i="1"/>
  <c r="I300" i="1"/>
  <c r="I181" i="1"/>
  <c r="I220" i="1"/>
  <c r="I123" i="1"/>
  <c r="I349" i="1"/>
  <c r="I113" i="1"/>
  <c r="I236" i="1"/>
  <c r="I166" i="1"/>
</calcChain>
</file>

<file path=xl/sharedStrings.xml><?xml version="1.0" encoding="utf-8"?>
<sst xmlns="http://schemas.openxmlformats.org/spreadsheetml/2006/main" count="700" uniqueCount="694">
  <si>
    <t>FACTORY</t>
  </si>
  <si>
    <t>WEEKLY</t>
  </si>
  <si>
    <t>QTY</t>
  </si>
  <si>
    <t>AVG</t>
  </si>
  <si>
    <t>RANK</t>
  </si>
  <si>
    <t>MONTH TODATE</t>
  </si>
  <si>
    <t>DEF +/-</t>
  </si>
  <si>
    <t xml:space="preserve">  LOW    </t>
  </si>
  <si>
    <t>WEEKLY O/X LG AVG</t>
  </si>
  <si>
    <t>MONTH TODATE O/X LG AVG</t>
  </si>
  <si>
    <t>MF CODE</t>
  </si>
  <si>
    <t>Text</t>
  </si>
  <si>
    <t>Above the Average</t>
  </si>
  <si>
    <t>Below the average</t>
  </si>
  <si>
    <t>ASIA SIYAKA COMMODITIES  PLC</t>
  </si>
  <si>
    <t>WEEKLY &amp; TODATE SOLD QTY &amp; AVERAGES</t>
  </si>
  <si>
    <t>COMMODITIES PLC</t>
  </si>
  <si>
    <t>"DEUTSCHE HOUSE", 320, T.B. Jayah Mawatha, Colombo 10.</t>
  </si>
  <si>
    <t xml:space="preserve">Tel: 2678146 / 4600700 Fax: 2678145 </t>
  </si>
  <si>
    <t>Website: www.asiasiyaka.com Email: tea@siyaka.lk</t>
  </si>
  <si>
    <t xml:space="preserve">A.C.U.TEA FACTORY         </t>
  </si>
  <si>
    <t xml:space="preserve">ADAMS VIEW                </t>
  </si>
  <si>
    <t xml:space="preserve">AGILMA                    </t>
  </si>
  <si>
    <t xml:space="preserve">AHINSA                    </t>
  </si>
  <si>
    <t xml:space="preserve">AIGBURTH                  </t>
  </si>
  <si>
    <t xml:space="preserve">ALAGALLA                  </t>
  </si>
  <si>
    <t xml:space="preserve">ALHEWANA                  </t>
  </si>
  <si>
    <t xml:space="preserve">ALLEN VALLEY              </t>
  </si>
  <si>
    <t xml:space="preserve">ALLEWELA                  </t>
  </si>
  <si>
    <t xml:space="preserve">ALPITAKANDE               </t>
  </si>
  <si>
    <t xml:space="preserve">ANDARADENIYA HILLS        </t>
  </si>
  <si>
    <t xml:space="preserve">ARUNA                     </t>
  </si>
  <si>
    <t xml:space="preserve">ATHURALIYA                </t>
  </si>
  <si>
    <t xml:space="preserve">ATUKORALA GROUP           </t>
  </si>
  <si>
    <t xml:space="preserve">AVISSAWELLA TEA FACTORY   </t>
  </si>
  <si>
    <t xml:space="preserve">AYAGAMA                   </t>
  </si>
  <si>
    <t xml:space="preserve">AYESH                     </t>
  </si>
  <si>
    <t xml:space="preserve">BADURAELIYA               </t>
  </si>
  <si>
    <t xml:space="preserve">BALAGALA                  </t>
  </si>
  <si>
    <t xml:space="preserve">BALANGODA TEA SHAKTHI     </t>
  </si>
  <si>
    <t xml:space="preserve">BATUWANGALA               </t>
  </si>
  <si>
    <t xml:space="preserve">BEAUTY VALLEY             </t>
  </si>
  <si>
    <t xml:space="preserve">BERUBEULA                 </t>
  </si>
  <si>
    <t xml:space="preserve">BLUE HILLS                </t>
  </si>
  <si>
    <t xml:space="preserve">BOGAHAHENA                </t>
  </si>
  <si>
    <t xml:space="preserve">BOGODA GROUP              </t>
  </si>
  <si>
    <t xml:space="preserve">BOSCOMBE                  </t>
  </si>
  <si>
    <t xml:space="preserve">BROMBIL                   </t>
  </si>
  <si>
    <t xml:space="preserve">CAMPDEN HILL              </t>
  </si>
  <si>
    <t xml:space="preserve">CANORA CTC                </t>
  </si>
  <si>
    <t xml:space="preserve">CAPTAIN GARDEN            </t>
  </si>
  <si>
    <t xml:space="preserve">CECILIYAN-CTC             </t>
  </si>
  <si>
    <t xml:space="preserve">CO-OP LANKA               </t>
  </si>
  <si>
    <t xml:space="preserve">CO-OP WIN                 </t>
  </si>
  <si>
    <t xml:space="preserve">COOLBAWN TEA PLANTATIONS  </t>
  </si>
  <si>
    <t xml:space="preserve">COOP-COLA                 </t>
  </si>
  <si>
    <t xml:space="preserve">DALUGGALA                 </t>
  </si>
  <si>
    <t xml:space="preserve">DAMPAHALA                 </t>
  </si>
  <si>
    <t xml:space="preserve">DANAWALA                  </t>
  </si>
  <si>
    <t xml:space="preserve">DANLANDA                  </t>
  </si>
  <si>
    <t xml:space="preserve">DEDIYAGALA                </t>
  </si>
  <si>
    <t xml:space="preserve">DEHIGAMA                  </t>
  </si>
  <si>
    <t xml:space="preserve">DENIYAYA                  </t>
  </si>
  <si>
    <t xml:space="preserve">DERANGALA                 </t>
  </si>
  <si>
    <t xml:space="preserve">DEVAGIRI                  </t>
  </si>
  <si>
    <t xml:space="preserve">DEVITURAI                 </t>
  </si>
  <si>
    <t xml:space="preserve">DEVONIA                   </t>
  </si>
  <si>
    <t xml:space="preserve">DIDDENIPOTA               </t>
  </si>
  <si>
    <t xml:space="preserve">DISHAN VALLEY             </t>
  </si>
  <si>
    <t xml:space="preserve">DODANGAHA                 </t>
  </si>
  <si>
    <t xml:space="preserve">DOLOSWELLA                </t>
  </si>
  <si>
    <t xml:space="preserve">DORALAVITIYAHENA          </t>
  </si>
  <si>
    <t xml:space="preserve">DUMBARA                   </t>
  </si>
  <si>
    <t xml:space="preserve">EKVIN TEA FACTORY         </t>
  </si>
  <si>
    <t xml:space="preserve">EMBILIMIGAMA              </t>
  </si>
  <si>
    <t xml:space="preserve">ENDANE                    </t>
  </si>
  <si>
    <t xml:space="preserve">ERAMULLA                  </t>
  </si>
  <si>
    <t xml:space="preserve">ETAMBAGAHAWILA            </t>
  </si>
  <si>
    <t xml:space="preserve">ETHOYA WATTA              </t>
  </si>
  <si>
    <t xml:space="preserve">EVERGREEN                 </t>
  </si>
  <si>
    <t xml:space="preserve">FAERY MOUNT               </t>
  </si>
  <si>
    <t xml:space="preserve">FAIRYLAND                 </t>
  </si>
  <si>
    <t xml:space="preserve">FALCON LANKA              </t>
  </si>
  <si>
    <t xml:space="preserve">FORTUNE                   </t>
  </si>
  <si>
    <t xml:space="preserve">GALABODA                  </t>
  </si>
  <si>
    <t xml:space="preserve">GALAGAWA                  </t>
  </si>
  <si>
    <t xml:space="preserve">GALAHITIYA                </t>
  </si>
  <si>
    <t xml:space="preserve">GALATARA                  </t>
  </si>
  <si>
    <t xml:space="preserve">GALAXY                    </t>
  </si>
  <si>
    <t xml:space="preserve">GALBODDE                  </t>
  </si>
  <si>
    <t xml:space="preserve">GALPETHTHA                </t>
  </si>
  <si>
    <t xml:space="preserve">GANGABODA                 </t>
  </si>
  <si>
    <t xml:space="preserve">GANGALAGAMUWA SUPER       </t>
  </si>
  <si>
    <t xml:space="preserve">GANGANEE                  </t>
  </si>
  <si>
    <t xml:space="preserve">GANGASIRI                 </t>
  </si>
  <si>
    <t xml:space="preserve">GODAPOLA TEA FACTORY      </t>
  </si>
  <si>
    <t xml:space="preserve">GOLDEN GROW SUPER         </t>
  </si>
  <si>
    <t xml:space="preserve">GRACELAND                 </t>
  </si>
  <si>
    <t xml:space="preserve">GREEN HILLS               </t>
  </si>
  <si>
    <t xml:space="preserve">GREEN HOUSE               </t>
  </si>
  <si>
    <t xml:space="preserve">GREEN LANKA TEA           </t>
  </si>
  <si>
    <t xml:space="preserve">GREENWIN                  </t>
  </si>
  <si>
    <t xml:space="preserve">GUNAWARDANA               </t>
  </si>
  <si>
    <t xml:space="preserve">GURUGODELLA               </t>
  </si>
  <si>
    <t xml:space="preserve">GURULUWANA                </t>
  </si>
  <si>
    <t xml:space="preserve">H.P.P. TEA                </t>
  </si>
  <si>
    <t xml:space="preserve">HALGOLLE                  </t>
  </si>
  <si>
    <t xml:space="preserve">HALWITIGALA               </t>
  </si>
  <si>
    <t xml:space="preserve">HAMEEDIYA                 </t>
  </si>
  <si>
    <t xml:space="preserve">HAMILTON                  </t>
  </si>
  <si>
    <t xml:space="preserve">HANDUGALLA                </t>
  </si>
  <si>
    <t xml:space="preserve">HANDUNNAGODA              </t>
  </si>
  <si>
    <t xml:space="preserve">HAPPITIYA                 </t>
  </si>
  <si>
    <t xml:space="preserve">HAPUGASTENNE              </t>
  </si>
  <si>
    <t xml:space="preserve">HATHERLEIGH               </t>
  </si>
  <si>
    <t xml:space="preserve">HAUGHTON                  </t>
  </si>
  <si>
    <t xml:space="preserve">HAYES                     </t>
  </si>
  <si>
    <t xml:space="preserve">HEDIGALLA                 </t>
  </si>
  <si>
    <t xml:space="preserve">HIDELLANA                 </t>
  </si>
  <si>
    <t xml:space="preserve">HILAND ESTATE LTD         </t>
  </si>
  <si>
    <t xml:space="preserve">HILL GARDEN               </t>
  </si>
  <si>
    <t xml:space="preserve">HINGALGODA                </t>
  </si>
  <si>
    <t xml:space="preserve">HINIDUMA                  </t>
  </si>
  <si>
    <t xml:space="preserve">HINIDUMA HILLS            </t>
  </si>
  <si>
    <t xml:space="preserve">HOPEWELL                  </t>
  </si>
  <si>
    <t xml:space="preserve">HORIZEN                   </t>
  </si>
  <si>
    <t xml:space="preserve">HOUPE                     </t>
  </si>
  <si>
    <t xml:space="preserve">IDDAMALDENIYA             </t>
  </si>
  <si>
    <t xml:space="preserve">ILLUKTENNE                </t>
  </si>
  <si>
    <t xml:space="preserve">IMBULGAHAGODA             </t>
  </si>
  <si>
    <t xml:space="preserve">ITTAGALA                  </t>
  </si>
  <si>
    <t xml:space="preserve">IVY HILLS                 </t>
  </si>
  <si>
    <t xml:space="preserve">IVY VALLEY                </t>
  </si>
  <si>
    <t xml:space="preserve">J.S.P.                    </t>
  </si>
  <si>
    <t xml:space="preserve">JANAHITHA                 </t>
  </si>
  <si>
    <t xml:space="preserve">JAWA SUPER                </t>
  </si>
  <si>
    <t xml:space="preserve">JESMINE VALLEY            </t>
  </si>
  <si>
    <t xml:space="preserve">KADIGALAHENA              </t>
  </si>
  <si>
    <t xml:space="preserve">KAHATAPITIYA              </t>
  </si>
  <si>
    <t xml:space="preserve">KALLUMALAY                </t>
  </si>
  <si>
    <t xml:space="preserve">KALUBOVITIYANA            </t>
  </si>
  <si>
    <t xml:space="preserve">KAMARANGAPITIYA           </t>
  </si>
  <si>
    <t xml:space="preserve">KANDADOLA                 </t>
  </si>
  <si>
    <t xml:space="preserve">KANNELIYA                 </t>
  </si>
  <si>
    <t xml:space="preserve">KANRICH TEA FACTORY       </t>
  </si>
  <si>
    <t xml:space="preserve">KARADANA TEA              </t>
  </si>
  <si>
    <t xml:space="preserve">KARAGODA                  </t>
  </si>
  <si>
    <t xml:space="preserve">KARAWITA                  </t>
  </si>
  <si>
    <t xml:space="preserve">KATANDOLA                 </t>
  </si>
  <si>
    <t xml:space="preserve">KEKUNDENIYA               </t>
  </si>
  <si>
    <t xml:space="preserve">KELANI                    </t>
  </si>
  <si>
    <t xml:space="preserve">KELLAPATHA                </t>
  </si>
  <si>
    <t xml:space="preserve">KENDALANDA                </t>
  </si>
  <si>
    <t xml:space="preserve">KETANWILA                 </t>
  </si>
  <si>
    <t xml:space="preserve">KINGSBRU FACTORY          </t>
  </si>
  <si>
    <t xml:space="preserve">KIRIMETIYA                </t>
  </si>
  <si>
    <t xml:space="preserve">KIRUWANAGANGA             </t>
  </si>
  <si>
    <t xml:space="preserve">KOLONNE                   </t>
  </si>
  <si>
    <t xml:space="preserve">KOLONNE KITHULGALA        </t>
  </si>
  <si>
    <t xml:space="preserve">KOLONNE PANAPITIYA        </t>
  </si>
  <si>
    <t xml:space="preserve">KONEGAHAWATTE             </t>
  </si>
  <si>
    <t xml:space="preserve">KOPPAKANDA                </t>
  </si>
  <si>
    <t xml:space="preserve">KOSGAHADOLA ELLA TEA FACT </t>
  </si>
  <si>
    <t xml:space="preserve">KOSMODARA                 </t>
  </si>
  <si>
    <t xml:space="preserve">KOSMULLA                  </t>
  </si>
  <si>
    <t xml:space="preserve">KOTTAWA VALLEY            </t>
  </si>
  <si>
    <t xml:space="preserve">KOWULANAWATTA             </t>
  </si>
  <si>
    <t xml:space="preserve">KUDAMALANA                </t>
  </si>
  <si>
    <t xml:space="preserve">KUMUDU                    </t>
  </si>
  <si>
    <t xml:space="preserve">KURUNDUWATTE              </t>
  </si>
  <si>
    <t xml:space="preserve">KURUPANAWA                </t>
  </si>
  <si>
    <t xml:space="preserve">KUTTAPITIYA               </t>
  </si>
  <si>
    <t xml:space="preserve">LAKMAL                    </t>
  </si>
  <si>
    <t xml:space="preserve">LAKMALI                   </t>
  </si>
  <si>
    <t xml:space="preserve">LAKMIE CTC                </t>
  </si>
  <si>
    <t xml:space="preserve">LAKSAKANDA                </t>
  </si>
  <si>
    <t xml:space="preserve">LAKVINKA                  </t>
  </si>
  <si>
    <t xml:space="preserve">LANTERN HILL              </t>
  </si>
  <si>
    <t xml:space="preserve">LELLOPITIYA               </t>
  </si>
  <si>
    <t xml:space="preserve">LENAMA HILLS              </t>
  </si>
  <si>
    <t xml:space="preserve">LIHINIYAWA                </t>
  </si>
  <si>
    <t xml:space="preserve">LIONS                     </t>
  </si>
  <si>
    <t xml:space="preserve">LIVERPOOL                 </t>
  </si>
  <si>
    <t xml:space="preserve">LIYONTA                   </t>
  </si>
  <si>
    <t xml:space="preserve">LIYOTA TEA FACTORY        </t>
  </si>
  <si>
    <t xml:space="preserve">LUCKY DIAS                </t>
  </si>
  <si>
    <t xml:space="preserve">LUMBINI                   </t>
  </si>
  <si>
    <t xml:space="preserve">M.K.G.RUWANPURA           </t>
  </si>
  <si>
    <t xml:space="preserve">MADAMPE                   </t>
  </si>
  <si>
    <t xml:space="preserve">MADHAWA                   </t>
  </si>
  <si>
    <t xml:space="preserve">MAGEDARA                  </t>
  </si>
  <si>
    <t xml:space="preserve">MAHALIYADDA               </t>
  </si>
  <si>
    <t xml:space="preserve">MAHAMBANA                 </t>
  </si>
  <si>
    <t xml:space="preserve">MAHATENNA SUPER           </t>
  </si>
  <si>
    <t xml:space="preserve">MAHAWALE                  </t>
  </si>
  <si>
    <t xml:space="preserve">MAHESLAND                 </t>
  </si>
  <si>
    <t xml:space="preserve">MAKANDURA                 </t>
  </si>
  <si>
    <t xml:space="preserve">MALEESHA GROUP            </t>
  </si>
  <si>
    <t xml:space="preserve">MANDALAPURA               </t>
  </si>
  <si>
    <t xml:space="preserve">MANIKKANDA                </t>
  </si>
  <si>
    <t xml:space="preserve">MARAKANDA                 </t>
  </si>
  <si>
    <t xml:space="preserve">MATHOTA                   </t>
  </si>
  <si>
    <t xml:space="preserve">MIDELLA TEA FACTORY       </t>
  </si>
  <si>
    <t xml:space="preserve">MIHIRIGEEKELLE            </t>
  </si>
  <si>
    <t xml:space="preserve">MILLAWITIYA               </t>
  </si>
  <si>
    <t xml:space="preserve">MISA                      </t>
  </si>
  <si>
    <t xml:space="preserve">MORAGALLA A1              </t>
  </si>
  <si>
    <t xml:space="preserve">MORAKETIYA                </t>
  </si>
  <si>
    <t xml:space="preserve">MORAPITIYA                </t>
  </si>
  <si>
    <t xml:space="preserve">MORAWAKKORALE             </t>
  </si>
  <si>
    <t xml:space="preserve">MOWBRAY                   </t>
  </si>
  <si>
    <t xml:space="preserve">MT.ELIZA                  </t>
  </si>
  <si>
    <t xml:space="preserve">MULATIYANA                </t>
  </si>
  <si>
    <t xml:space="preserve">MUSSENDAPOTTA             </t>
  </si>
  <si>
    <t xml:space="preserve">MUSSENNA                  </t>
  </si>
  <si>
    <t xml:space="preserve">MUTWAGALLA                </t>
  </si>
  <si>
    <t xml:space="preserve">NAHINIGALA                </t>
  </si>
  <si>
    <t xml:space="preserve">NAINDAWA                  </t>
  </si>
  <si>
    <t xml:space="preserve">NANDANA                   </t>
  </si>
  <si>
    <t xml:space="preserve">NAWAGAMUWEHENA            </t>
  </si>
  <si>
    <t xml:space="preserve">NEW DERANIYAGALA          </t>
  </si>
  <si>
    <t xml:space="preserve">NEW HOPEWELL              </t>
  </si>
  <si>
    <t xml:space="preserve">NEW KENDAGASTENNE         </t>
  </si>
  <si>
    <t xml:space="preserve">NEW MOUNT CARMEL          </t>
  </si>
  <si>
    <t xml:space="preserve">NEW PANAWENNA             </t>
  </si>
  <si>
    <t xml:space="preserve">NEW RASAGALLA             </t>
  </si>
  <si>
    <t xml:space="preserve">NEW UDAKADA               </t>
  </si>
  <si>
    <t xml:space="preserve">NILDALUKANDA              </t>
  </si>
  <si>
    <t xml:space="preserve">NILELLA                   </t>
  </si>
  <si>
    <t xml:space="preserve">NILGIRI                   </t>
  </si>
  <si>
    <t xml:space="preserve">NILRICH                   </t>
  </si>
  <si>
    <t xml:space="preserve">NILVIN VIEW               </t>
  </si>
  <si>
    <t xml:space="preserve">NILWALA                   </t>
  </si>
  <si>
    <t xml:space="preserve">NIVITHIGALA TEA FACTORY   </t>
  </si>
  <si>
    <t xml:space="preserve">NOORI                     </t>
  </si>
  <si>
    <t xml:space="preserve">PALMGARDEN                </t>
  </si>
  <si>
    <t xml:space="preserve">PALUWATHTHA               </t>
  </si>
  <si>
    <t xml:space="preserve">PAMBAGAMA                 </t>
  </si>
  <si>
    <t xml:space="preserve">PANILKANDE                </t>
  </si>
  <si>
    <t xml:space="preserve">PARAGODAKANDA             </t>
  </si>
  <si>
    <t xml:space="preserve">PARAKADUWA                </t>
  </si>
  <si>
    <t xml:space="preserve">PARKMORE                  </t>
  </si>
  <si>
    <t xml:space="preserve">PASGODA                   </t>
  </si>
  <si>
    <t xml:space="preserve">PEAK VIEW                 </t>
  </si>
  <si>
    <t xml:space="preserve">PELMADULLA                </t>
  </si>
  <si>
    <t xml:space="preserve">PILIMATALAWA              </t>
  </si>
  <si>
    <t xml:space="preserve">PINE HILL TEA FACORY      </t>
  </si>
  <si>
    <t xml:space="preserve">POTHOTUWA                 </t>
  </si>
  <si>
    <t xml:space="preserve">PURERICH                  </t>
  </si>
  <si>
    <t xml:space="preserve">RAIGAM KORALE             </t>
  </si>
  <si>
    <t xml:space="preserve">RAIN FOREST               </t>
  </si>
  <si>
    <t xml:space="preserve">RAJJURUWATTE              </t>
  </si>
  <si>
    <t xml:space="preserve">RANDIV                    </t>
  </si>
  <si>
    <t xml:space="preserve">RANMIR                    </t>
  </si>
  <si>
    <t xml:space="preserve">RANSEGODA                 </t>
  </si>
  <si>
    <t xml:space="preserve">RASA                      </t>
  </si>
  <si>
    <t xml:space="preserve">RASOTA TEA FACTORY        </t>
  </si>
  <si>
    <t xml:space="preserve">RATHMALGODA SUPER         </t>
  </si>
  <si>
    <t xml:space="preserve">RATNA                     </t>
  </si>
  <si>
    <t xml:space="preserve">RAYIGAM                   </t>
  </si>
  <si>
    <t xml:space="preserve">REKADAHENA                </t>
  </si>
  <si>
    <t xml:space="preserve">RICHILAND                 </t>
  </si>
  <si>
    <t xml:space="preserve">RILHENA                   </t>
  </si>
  <si>
    <t xml:space="preserve">ROCKY MARK TEA            </t>
  </si>
  <si>
    <t xml:space="preserve">ROTUMBA                   </t>
  </si>
  <si>
    <t xml:space="preserve">RUHUNU TEA FACTORY        </t>
  </si>
  <si>
    <t xml:space="preserve">RUHUNUDORA                </t>
  </si>
  <si>
    <t xml:space="preserve">RUKKATTANA                </t>
  </si>
  <si>
    <t xml:space="preserve">RYE                       </t>
  </si>
  <si>
    <t xml:space="preserve">S.L.S.                    </t>
  </si>
  <si>
    <t xml:space="preserve">SAMAWATTE                 </t>
  </si>
  <si>
    <t xml:space="preserve">SAMWIN                    </t>
  </si>
  <si>
    <t xml:space="preserve">SANASA                    </t>
  </si>
  <si>
    <t xml:space="preserve">SAPUMALKANDE              </t>
  </si>
  <si>
    <t xml:space="preserve">SARON TEA FACTORY         </t>
  </si>
  <si>
    <t xml:space="preserve">SEMIDALE                  </t>
  </si>
  <si>
    <t xml:space="preserve">SERANYA TEA FACTORY       </t>
  </si>
  <si>
    <t xml:space="preserve">SHERWOOD                  </t>
  </si>
  <si>
    <t xml:space="preserve">SIERRA                    </t>
  </si>
  <si>
    <t xml:space="preserve">SIHARA                    </t>
  </si>
  <si>
    <t xml:space="preserve">SINGHAGIRI                </t>
  </si>
  <si>
    <t xml:space="preserve">SINGHAKAWAYA              </t>
  </si>
  <si>
    <t xml:space="preserve">SINGHE VALLEY             </t>
  </si>
  <si>
    <t xml:space="preserve">SIRI SUMANA               </t>
  </si>
  <si>
    <t xml:space="preserve">SIRIMEWANA                </t>
  </si>
  <si>
    <t xml:space="preserve">SOUTH CO-OP               </t>
  </si>
  <si>
    <t xml:space="preserve">SOUTHERN VALLEY           </t>
  </si>
  <si>
    <t xml:space="preserve">SPRING VIEW               </t>
  </si>
  <si>
    <t xml:space="preserve">SPRINGWOOD                </t>
  </si>
  <si>
    <t xml:space="preserve">ST. JOACHIM               </t>
  </si>
  <si>
    <t xml:space="preserve">ST.AUGUSTINE              </t>
  </si>
  <si>
    <t xml:space="preserve">ST.MICAYAL                </t>
  </si>
  <si>
    <t xml:space="preserve">SUDUWELIPOTHAHENA         </t>
  </si>
  <si>
    <t xml:space="preserve">SUNILS                    </t>
  </si>
  <si>
    <t xml:space="preserve">SUNRISE                   </t>
  </si>
  <si>
    <t xml:space="preserve">SUNTUSA                   </t>
  </si>
  <si>
    <t xml:space="preserve">SUPER LEAF TEA FACTPRY    </t>
  </si>
  <si>
    <t xml:space="preserve">SUSANTHA                  </t>
  </si>
  <si>
    <t xml:space="preserve">SUWISHKA                  </t>
  </si>
  <si>
    <t xml:space="preserve">TALAGASWELLA              </t>
  </si>
  <si>
    <t xml:space="preserve">TALANGAHA                 </t>
  </si>
  <si>
    <t xml:space="preserve">TALAPALAKANDA             </t>
  </si>
  <si>
    <t xml:space="preserve">TEA LANKA                 </t>
  </si>
  <si>
    <t xml:space="preserve">TEA SHAKTHI-ELPITIYA      </t>
  </si>
  <si>
    <t xml:space="preserve">TEA TIP CEYLON            </t>
  </si>
  <si>
    <t xml:space="preserve">TELLABURA                 </t>
  </si>
  <si>
    <t xml:space="preserve">TEMPLE VALLEY             </t>
  </si>
  <si>
    <t xml:space="preserve">TEMPLEVIEW                </t>
  </si>
  <si>
    <t xml:space="preserve">THAMMENNA WATTE           </t>
  </si>
  <si>
    <t xml:space="preserve">THILAKA                   </t>
  </si>
  <si>
    <t xml:space="preserve">THISARA                   </t>
  </si>
  <si>
    <t xml:space="preserve">THOTUPOLAWATTE            </t>
  </si>
  <si>
    <t xml:space="preserve">THUNDOLA                  </t>
  </si>
  <si>
    <t xml:space="preserve">TIPPOLA TEAS              </t>
  </si>
  <si>
    <t xml:space="preserve">UDUELLA                   </t>
  </si>
  <si>
    <t xml:space="preserve">UDUMULLAGODA              </t>
  </si>
  <si>
    <t xml:space="preserve">UPPER BALANGODA           </t>
  </si>
  <si>
    <t xml:space="preserve">VEDDAGALA                 </t>
  </si>
  <si>
    <t xml:space="preserve">VITHANAKANDA              </t>
  </si>
  <si>
    <t xml:space="preserve">WALAHANDUWA               </t>
  </si>
  <si>
    <t xml:space="preserve">WALAWWATTE                </t>
  </si>
  <si>
    <t xml:space="preserve">WASANTHA TEA FACTORY      </t>
  </si>
  <si>
    <t xml:space="preserve">WAULUGALA                 </t>
  </si>
  <si>
    <t xml:space="preserve">WEEWARUGODA ESTATE        </t>
  </si>
  <si>
    <t xml:space="preserve">WEIHENA                   </t>
  </si>
  <si>
    <t xml:space="preserve">WELIGANGA                 </t>
  </si>
  <si>
    <t xml:space="preserve">WELIWATTHE                </t>
  </si>
  <si>
    <t xml:space="preserve">WELLANDURA                </t>
  </si>
  <si>
    <t xml:space="preserve">WEMBLEY                   </t>
  </si>
  <si>
    <t xml:space="preserve">WEWAWATTE                 </t>
  </si>
  <si>
    <t xml:space="preserve">WEWELKANDURA              </t>
  </si>
  <si>
    <t xml:space="preserve">WIJAYA GRP                </t>
  </si>
  <si>
    <t xml:space="preserve">WIKILIYA                  </t>
  </si>
  <si>
    <t xml:space="preserve">WILEHENA                  </t>
  </si>
  <si>
    <t xml:space="preserve">WILLIE GROUP              </t>
  </si>
  <si>
    <t xml:space="preserve">WOODLAND                  </t>
  </si>
  <si>
    <t xml:space="preserve">YAKKALAMULLA              </t>
  </si>
  <si>
    <t xml:space="preserve">YALTA                     </t>
  </si>
  <si>
    <t xml:space="preserve">YATADERIYA                </t>
  </si>
  <si>
    <t xml:space="preserve">YATTAPATHA                </t>
  </si>
  <si>
    <t xml:space="preserve">ALLERTON                  </t>
  </si>
  <si>
    <t xml:space="preserve">FERNDALE                  </t>
  </si>
  <si>
    <t xml:space="preserve">NEW GAMINI                </t>
  </si>
  <si>
    <t xml:space="preserve">PITIAGODA                 </t>
  </si>
  <si>
    <t xml:space="preserve">SUDUGAHAHENA              </t>
  </si>
  <si>
    <t xml:space="preserve">CO-OP TEA                 </t>
  </si>
  <si>
    <t xml:space="preserve">KALEY                     </t>
  </si>
  <si>
    <t xml:space="preserve">NAWALAKANDE               </t>
  </si>
  <si>
    <t>MF1387</t>
  </si>
  <si>
    <t>MF1487</t>
  </si>
  <si>
    <t>MFC1510</t>
  </si>
  <si>
    <t>MF1517</t>
  </si>
  <si>
    <t>MF0481</t>
  </si>
  <si>
    <t>MF0634</t>
  </si>
  <si>
    <t>MF1503</t>
  </si>
  <si>
    <t>MF1024</t>
  </si>
  <si>
    <t>MF0909</t>
  </si>
  <si>
    <t>RT0538</t>
  </si>
  <si>
    <t>MFA0094</t>
  </si>
  <si>
    <t>MF1542</t>
  </si>
  <si>
    <t>MF1558</t>
  </si>
  <si>
    <t>MF1514</t>
  </si>
  <si>
    <t>MFB1398</t>
  </si>
  <si>
    <t>MF1264</t>
  </si>
  <si>
    <t>MF1537</t>
  </si>
  <si>
    <t>MFA1400</t>
  </si>
  <si>
    <t>BFB0183</t>
  </si>
  <si>
    <t>MF1574</t>
  </si>
  <si>
    <t>MF0258</t>
  </si>
  <si>
    <t>MFE1350</t>
  </si>
  <si>
    <t>MF1319</t>
  </si>
  <si>
    <t>MF1274</t>
  </si>
  <si>
    <t>MF1601</t>
  </si>
  <si>
    <t>MF1408</t>
  </si>
  <si>
    <t>MF1407</t>
  </si>
  <si>
    <t>MF0594</t>
  </si>
  <si>
    <t>MF1465</t>
  </si>
  <si>
    <t>MFA0009</t>
  </si>
  <si>
    <t>MF1599</t>
  </si>
  <si>
    <t>MF0908</t>
  </si>
  <si>
    <t>MFB0181</t>
  </si>
  <si>
    <t>MF1423</t>
  </si>
  <si>
    <t>MF1496</t>
  </si>
  <si>
    <t>MF1417</t>
  </si>
  <si>
    <t>MF0420</t>
  </si>
  <si>
    <t>MF1518</t>
  </si>
  <si>
    <t>MF1181</t>
  </si>
  <si>
    <t>MF1546</t>
  </si>
  <si>
    <t>MF1331</t>
  </si>
  <si>
    <t>MF1375</t>
  </si>
  <si>
    <t>MF1305</t>
  </si>
  <si>
    <t>MF1561</t>
  </si>
  <si>
    <t>MF1509</t>
  </si>
  <si>
    <t>MF0802</t>
  </si>
  <si>
    <t>MFA1482</t>
  </si>
  <si>
    <t>MF1186</t>
  </si>
  <si>
    <t>MF0076</t>
  </si>
  <si>
    <t>BF0173</t>
  </si>
  <si>
    <t>MF1004</t>
  </si>
  <si>
    <t>MFA1360</t>
  </si>
  <si>
    <t>MFA0756</t>
  </si>
  <si>
    <t>MF0296</t>
  </si>
  <si>
    <t>MF1418</t>
  </si>
  <si>
    <t>MF0911</t>
  </si>
  <si>
    <t>MF1439</t>
  </si>
  <si>
    <t>MFD1461</t>
  </si>
  <si>
    <t>MFA0168</t>
  </si>
  <si>
    <t>MF1251</t>
  </si>
  <si>
    <t>MF1231</t>
  </si>
  <si>
    <t>MF1591</t>
  </si>
  <si>
    <t>MFA1342</t>
  </si>
  <si>
    <t>MF1464</t>
  </si>
  <si>
    <t>BF0161</t>
  </si>
  <si>
    <t>MF1441</t>
  </si>
  <si>
    <t>MF1397</t>
  </si>
  <si>
    <t>MF1428</t>
  </si>
  <si>
    <t>MF1041</t>
  </si>
  <si>
    <t>MF0454</t>
  </si>
  <si>
    <t>MF1551</t>
  </si>
  <si>
    <t>MF1435</t>
  </si>
  <si>
    <t>MF1483</t>
  </si>
  <si>
    <t>MFA0619</t>
  </si>
  <si>
    <t>RT0589</t>
  </si>
  <si>
    <t>BF0149</t>
  </si>
  <si>
    <t>BF0155</t>
  </si>
  <si>
    <t>MF1527</t>
  </si>
  <si>
    <t>MF1380</t>
  </si>
  <si>
    <t>MF1240</t>
  </si>
  <si>
    <t>MF1605</t>
  </si>
  <si>
    <t>BF0120</t>
  </si>
  <si>
    <t>MF1498</t>
  </si>
  <si>
    <t>MF1500</t>
  </si>
  <si>
    <t>MF1406</t>
  </si>
  <si>
    <t>MFA1529</t>
  </si>
  <si>
    <t>MF1410</t>
  </si>
  <si>
    <t>MF1196</t>
  </si>
  <si>
    <t>MF1478</t>
  </si>
  <si>
    <t>MF1557</t>
  </si>
  <si>
    <t>MF0626</t>
  </si>
  <si>
    <t>MF1330</t>
  </si>
  <si>
    <t>BFK0020</t>
  </si>
  <si>
    <t>RT0340</t>
  </si>
  <si>
    <t>MF1564</t>
  </si>
  <si>
    <t>MF1382</t>
  </si>
  <si>
    <t>MF1376</t>
  </si>
  <si>
    <t>MF0801</t>
  </si>
  <si>
    <t>MFA0490</t>
  </si>
  <si>
    <t>MF0210</t>
  </si>
  <si>
    <t>MFA0393</t>
  </si>
  <si>
    <t>MF1544</t>
  </si>
  <si>
    <t>MF1392</t>
  </si>
  <si>
    <t>MFE0642</t>
  </si>
  <si>
    <t>MFA1353</t>
  </si>
  <si>
    <t>MF1333</t>
  </si>
  <si>
    <t>MF1314</t>
  </si>
  <si>
    <t>MF1526</t>
  </si>
  <si>
    <t>MF0600</t>
  </si>
  <si>
    <t>RT0592</t>
  </si>
  <si>
    <t>MFA0780</t>
  </si>
  <si>
    <t>MFA0101</t>
  </si>
  <si>
    <t>MF1297</t>
  </si>
  <si>
    <t>MF1300</t>
  </si>
  <si>
    <t>MF1006</t>
  </si>
  <si>
    <t>MF1422</t>
  </si>
  <si>
    <t>MFB1170</t>
  </si>
  <si>
    <t>MF1476</t>
  </si>
  <si>
    <t>MF1401</t>
  </si>
  <si>
    <t>RT0671</t>
  </si>
  <si>
    <t>MF1139</t>
  </si>
  <si>
    <t>MFA1075</t>
  </si>
  <si>
    <t>MF0535</t>
  </si>
  <si>
    <t>HT0011</t>
  </si>
  <si>
    <t>MF1310</t>
  </si>
  <si>
    <t>BF0188</t>
  </si>
  <si>
    <t>MF1571</t>
  </si>
  <si>
    <t>MF0437</t>
  </si>
  <si>
    <t>MF1497</t>
  </si>
  <si>
    <t>MF1516</t>
  </si>
  <si>
    <t>MF1572</t>
  </si>
  <si>
    <t>MF1389</t>
  </si>
  <si>
    <t>MF1470</t>
  </si>
  <si>
    <t>MF0907</t>
  </si>
  <si>
    <t>BF0157</t>
  </si>
  <si>
    <t>MF0293</t>
  </si>
  <si>
    <t>MF1473</t>
  </si>
  <si>
    <t>MF1266</t>
  </si>
  <si>
    <t>MF0414</t>
  </si>
  <si>
    <t>MF0443</t>
  </si>
  <si>
    <t>MF1521</t>
  </si>
  <si>
    <t>MF1275</t>
  </si>
  <si>
    <t>MFB1316</t>
  </si>
  <si>
    <t>MF1580</t>
  </si>
  <si>
    <t>MF1531</t>
  </si>
  <si>
    <t>MF1343</t>
  </si>
  <si>
    <t>MFA1416</t>
  </si>
  <si>
    <t>MF1433</t>
  </si>
  <si>
    <t>MF1415</t>
  </si>
  <si>
    <t>MFA1341</t>
  </si>
  <si>
    <t>BFA0178</t>
  </si>
  <si>
    <t>MF1306</t>
  </si>
  <si>
    <t>MFA0259</t>
  </si>
  <si>
    <t>MF1530</t>
  </si>
  <si>
    <t>MFB1307</t>
  </si>
  <si>
    <t>MF1332</t>
  </si>
  <si>
    <t>MF0295</t>
  </si>
  <si>
    <t>MFA1467</t>
  </si>
  <si>
    <t>MF1421</t>
  </si>
  <si>
    <t>MF1584</t>
  </si>
  <si>
    <t>MF1459</t>
  </si>
  <si>
    <t>MF1578</t>
  </si>
  <si>
    <t>MFB0416</t>
  </si>
  <si>
    <t>MF1235</t>
  </si>
  <si>
    <t>MF0912</t>
  </si>
  <si>
    <t>MF1577</t>
  </si>
  <si>
    <t>MF1565</t>
  </si>
  <si>
    <t>MF1462</t>
  </si>
  <si>
    <t>MF1596</t>
  </si>
  <si>
    <t>MF1545</t>
  </si>
  <si>
    <t>MF1434</t>
  </si>
  <si>
    <t>MF1412</t>
  </si>
  <si>
    <t>MF1337</t>
  </si>
  <si>
    <t>RT0391</t>
  </si>
  <si>
    <t>MFB0614</t>
  </si>
  <si>
    <t>MF1303</t>
  </si>
  <si>
    <t>MF1346</t>
  </si>
  <si>
    <t>MF1452</t>
  </si>
  <si>
    <t>MF1328</t>
  </si>
  <si>
    <t>BF0166</t>
  </si>
  <si>
    <t>MF0106</t>
  </si>
  <si>
    <t>MF1253</t>
  </si>
  <si>
    <t>MF1547</t>
  </si>
  <si>
    <t>MF1606</t>
  </si>
  <si>
    <t>MF1396</t>
  </si>
  <si>
    <t>MF1427</t>
  </si>
  <si>
    <t>MFA1334</t>
  </si>
  <si>
    <t>MF1278</t>
  </si>
  <si>
    <t>MF1318</t>
  </si>
  <si>
    <t>MFB1280</t>
  </si>
  <si>
    <t>MF0905</t>
  </si>
  <si>
    <t>MF1528</t>
  </si>
  <si>
    <t>MF0954</t>
  </si>
  <si>
    <t>MF1373</t>
  </si>
  <si>
    <t>MFC1477</t>
  </si>
  <si>
    <t>BF0044</t>
  </si>
  <si>
    <t>MF0445</t>
  </si>
  <si>
    <t>MF1413</t>
  </si>
  <si>
    <t>MFA1329</t>
  </si>
  <si>
    <t>MF1271</t>
  </si>
  <si>
    <t>MF1475</t>
  </si>
  <si>
    <t>MF0347</t>
  </si>
  <si>
    <t>MF1384</t>
  </si>
  <si>
    <t>MF1371</t>
  </si>
  <si>
    <t>MF1287</t>
  </si>
  <si>
    <t>MF1365</t>
  </si>
  <si>
    <t>MF1363</t>
  </si>
  <si>
    <t>MFB1579</t>
  </si>
  <si>
    <t>MFA1362</t>
  </si>
  <si>
    <t>MF1480</t>
  </si>
  <si>
    <t>MFB0183</t>
  </si>
  <si>
    <t>MFI0267</t>
  </si>
  <si>
    <t>MF1284</t>
  </si>
  <si>
    <t>MF0625</t>
  </si>
  <si>
    <t>MF1308</t>
  </si>
  <si>
    <t>BFE0170</t>
  </si>
  <si>
    <t>MF1298</t>
  </si>
  <si>
    <t>MF1502</t>
  </si>
  <si>
    <t>MF1468</t>
  </si>
  <si>
    <t>MF1495</t>
  </si>
  <si>
    <t>BF0186</t>
  </si>
  <si>
    <t>MFA1440</t>
  </si>
  <si>
    <t>MF0085</t>
  </si>
  <si>
    <t>MF0906</t>
  </si>
  <si>
    <t>RT0271</t>
  </si>
  <si>
    <t>MF0236</t>
  </si>
  <si>
    <t>MF0272</t>
  </si>
  <si>
    <t>MF1494</t>
  </si>
  <si>
    <t>MF1519</t>
  </si>
  <si>
    <t>RT0609</t>
  </si>
  <si>
    <t>MFD1322</t>
  </si>
  <si>
    <t>MF1463</t>
  </si>
  <si>
    <t>MFC0107</t>
  </si>
  <si>
    <t>BFC0111</t>
  </si>
  <si>
    <t>MF1292</t>
  </si>
  <si>
    <t>MF1048</t>
  </si>
  <si>
    <t>BF0138</t>
  </si>
  <si>
    <t>MFB1474</t>
  </si>
  <si>
    <t>MFA1481</t>
  </si>
  <si>
    <t>MF1453</t>
  </si>
  <si>
    <t>MF0946</t>
  </si>
  <si>
    <t>MF1364</t>
  </si>
  <si>
    <t>MF1549</t>
  </si>
  <si>
    <t>MF1490</t>
  </si>
  <si>
    <t>MF0216</t>
  </si>
  <si>
    <t>MFA0124</t>
  </si>
  <si>
    <t>MF1594</t>
  </si>
  <si>
    <t>BF0181</t>
  </si>
  <si>
    <t>MF0147</t>
  </si>
  <si>
    <t>MF0184</t>
  </si>
  <si>
    <t>MF1320</t>
  </si>
  <si>
    <t>MF0083</t>
  </si>
  <si>
    <t>HT0023</t>
  </si>
  <si>
    <t>MFB1450</t>
  </si>
  <si>
    <t>MF1370</t>
  </si>
  <si>
    <t>MF1563</t>
  </si>
  <si>
    <t>MF1220</t>
  </si>
  <si>
    <t>MF0659</t>
  </si>
  <si>
    <t>MF1539</t>
  </si>
  <si>
    <t>MF1286</t>
  </si>
  <si>
    <t>MF1511</t>
  </si>
  <si>
    <t>MF0079</t>
  </si>
  <si>
    <t>MF0574</t>
  </si>
  <si>
    <t>MF1458</t>
  </si>
  <si>
    <t>MF0975</t>
  </si>
  <si>
    <t>MF1540</t>
  </si>
  <si>
    <t>BFD0150</t>
  </si>
  <si>
    <t>MF1491</t>
  </si>
  <si>
    <t>MF1501</t>
  </si>
  <si>
    <t>MF1437</t>
  </si>
  <si>
    <t>MF1327</t>
  </si>
  <si>
    <t>BF0187</t>
  </si>
  <si>
    <t>MF1195</t>
  </si>
  <si>
    <t>MF0142</t>
  </si>
  <si>
    <t>MFD0426</t>
  </si>
  <si>
    <t>RT0252</t>
  </si>
  <si>
    <t>MF1553</t>
  </si>
  <si>
    <t>MF0546</t>
  </si>
  <si>
    <t>MF1281</t>
  </si>
  <si>
    <t>MFC1270</t>
  </si>
  <si>
    <t>MF1188</t>
  </si>
  <si>
    <t>MF1562</t>
  </si>
  <si>
    <t>MFC1217</t>
  </si>
  <si>
    <t>MF1472</t>
  </si>
  <si>
    <t>MF1507</t>
  </si>
  <si>
    <t>MF1552</t>
  </si>
  <si>
    <t>MF1592</t>
  </si>
  <si>
    <t>MF1411</t>
  </si>
  <si>
    <t>MF1548</t>
  </si>
  <si>
    <t>MFA0304</t>
  </si>
  <si>
    <t>MF0321</t>
  </si>
  <si>
    <t>MF1533</t>
  </si>
  <si>
    <t>MF1466</t>
  </si>
  <si>
    <t>MF1504</t>
  </si>
  <si>
    <t>HT0022</t>
  </si>
  <si>
    <t>MF1543</t>
  </si>
  <si>
    <t>BF0143</t>
  </si>
  <si>
    <t>MF1368</t>
  </si>
  <si>
    <t>MF1486</t>
  </si>
  <si>
    <t>MF1359</t>
  </si>
  <si>
    <t>MF0751</t>
  </si>
  <si>
    <t>MF1404</t>
  </si>
  <si>
    <t>MF1455</t>
  </si>
  <si>
    <t>MF1107</t>
  </si>
  <si>
    <t>MF1361</t>
  </si>
  <si>
    <t>MF1393</t>
  </si>
  <si>
    <t>MF0262</t>
  </si>
  <si>
    <t>MF1442</t>
  </si>
  <si>
    <t>MF1172</t>
  </si>
  <si>
    <t>MF0815</t>
  </si>
  <si>
    <t>MF1506</t>
  </si>
  <si>
    <t>MF1559</t>
  </si>
  <si>
    <t>MFC0861</t>
  </si>
  <si>
    <t>MF0862</t>
  </si>
  <si>
    <t>MF0080</t>
  </si>
  <si>
    <t>BFB0043</t>
  </si>
  <si>
    <t>RT0348</t>
  </si>
  <si>
    <t>MF0104</t>
  </si>
  <si>
    <t>MFB0800</t>
  </si>
  <si>
    <t>MFA0263</t>
  </si>
  <si>
    <t>MF1436</t>
  </si>
  <si>
    <t>BF0172</t>
  </si>
  <si>
    <t>MF0624</t>
  </si>
  <si>
    <t>MF1252</t>
  </si>
  <si>
    <t>MF0977</t>
  </si>
  <si>
    <t>MF1568</t>
  </si>
  <si>
    <t>MF1338</t>
  </si>
  <si>
    <t>MF1339</t>
  </si>
  <si>
    <t>MF0353</t>
  </si>
  <si>
    <t>MF1399</t>
  </si>
  <si>
    <t xml:space="preserve">KUKULEGANGA               </t>
  </si>
  <si>
    <t>MF1488</t>
  </si>
  <si>
    <t xml:space="preserve">PANASHENA                 </t>
  </si>
  <si>
    <t>MF1447</t>
  </si>
  <si>
    <t xml:space="preserve">PALLEGAMA                 </t>
  </si>
  <si>
    <t xml:space="preserve">GODAMUNA                  </t>
  </si>
  <si>
    <t>MFA1378</t>
  </si>
  <si>
    <t xml:space="preserve">KEHELWALA                 </t>
  </si>
  <si>
    <t>MF1304</t>
  </si>
  <si>
    <t xml:space="preserve">DREAM HILLS               </t>
  </si>
  <si>
    <t>MF1484</t>
  </si>
  <si>
    <t xml:space="preserve">WIMALAGIRI                </t>
  </si>
  <si>
    <t>RT0263</t>
  </si>
  <si>
    <t xml:space="preserve">DEERWOOD SUPER            </t>
  </si>
  <si>
    <t>MF1456</t>
  </si>
  <si>
    <t xml:space="preserve"> Sale No. 30 - 04th  / 05th 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</si>
</sst>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6600"/>
      <name val="Times New Roman"/>
      <family val="1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3" fillId="0" borderId="1" xfId="0" applyFont="1" applyBorder="1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7" fillId="0" borderId="0" xfId="0" applyFont="1" applyAlignment="1">
      <alignment horizontal="center"/>
    </xf>
    <xf numFmtId="0" fontId="0" fillId="4" borderId="0" xfId="0" applyFill="1"/>
    <xf numFmtId="0" fontId="7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0" xfId="0" applyFont="1"/>
    <xf numFmtId="0" fontId="11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right"/>
    </xf>
    <xf numFmtId="2" fontId="11" fillId="5" borderId="1" xfId="0" applyNumberFormat="1" applyFont="1" applyFill="1" applyBorder="1" applyAlignment="1">
      <alignment horizontal="right"/>
    </xf>
    <xf numFmtId="0" fontId="11" fillId="5" borderId="1" xfId="0" applyFont="1" applyFill="1" applyBorder="1"/>
    <xf numFmtId="2" fontId="11" fillId="5" borderId="1" xfId="0" applyNumberFormat="1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2" fontId="5" fillId="0" borderId="1" xfId="0" applyNumberFormat="1" applyFont="1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261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16281</xdr:colOff>
      <xdr:row>0</xdr:row>
      <xdr:rowOff>16281</xdr:rowOff>
    </xdr:from>
    <xdr:to>
      <xdr:col>9</xdr:col>
      <xdr:colOff>594294</xdr:colOff>
      <xdr:row>7</xdr:row>
      <xdr:rowOff>40705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281" y="16281"/>
          <a:ext cx="7131539" cy="1432821"/>
        </a:xfrm>
        <a:prstGeom prst="rect">
          <a:avLst/>
        </a:prstGeom>
        <a:noFill/>
        <a:ln w="57150">
          <a:solidFill>
            <a:srgbClr val="0066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309357</xdr:colOff>
      <xdr:row>1</xdr:row>
      <xdr:rowOff>73270</xdr:rowOff>
    </xdr:from>
    <xdr:to>
      <xdr:col>1</xdr:col>
      <xdr:colOff>1371043</xdr:colOff>
      <xdr:row>4</xdr:row>
      <xdr:rowOff>152075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57" y="260514"/>
          <a:ext cx="1061686" cy="7219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8</xdr:row>
      <xdr:rowOff>38100</xdr:rowOff>
    </xdr:from>
    <xdr:to>
      <xdr:col>2</xdr:col>
      <xdr:colOff>1614136</xdr:colOff>
      <xdr:row>11</xdr:row>
      <xdr:rowOff>188546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1562100"/>
          <a:ext cx="1061686" cy="7219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W354"/>
  <sheetViews>
    <sheetView tabSelected="1" zoomScaleNormal="100" workbookViewId="0">
      <selection activeCell="T4" sqref="T4"/>
    </sheetView>
  </sheetViews>
  <sheetFormatPr defaultRowHeight="15" x14ac:dyDescent="0.25"/>
  <cols>
    <col min="1" max="1" width="3.28515625" customWidth="1"/>
    <col min="2" max="2" width="28.140625" style="8" customWidth="1"/>
    <col min="3" max="3" width="13.140625" style="9" customWidth="1"/>
    <col min="4" max="6" width="9.140625" style="9"/>
    <col min="7" max="7" width="12.7109375" style="9" customWidth="1"/>
    <col min="9" max="9" width="10.140625" style="9" customWidth="1"/>
    <col min="10" max="10" width="10.5703125" style="9" bestFit="1" customWidth="1"/>
    <col min="11" max="11" width="4.42578125" customWidth="1"/>
    <col min="13" max="13" width="19.85546875" bestFit="1" customWidth="1"/>
    <col min="14" max="14" width="18" customWidth="1"/>
    <col min="15" max="15" width="13.140625" customWidth="1"/>
  </cols>
  <sheetData>
    <row r="2" spans="2:23" ht="21" x14ac:dyDescent="0.35">
      <c r="C2" s="41" t="s">
        <v>14</v>
      </c>
      <c r="D2" s="41"/>
      <c r="E2" s="41"/>
      <c r="F2" s="41"/>
      <c r="G2" s="41"/>
      <c r="H2" s="41"/>
      <c r="I2" s="41"/>
    </row>
    <row r="3" spans="2:23" x14ac:dyDescent="0.25">
      <c r="C3" s="42" t="s">
        <v>15</v>
      </c>
      <c r="D3" s="42"/>
      <c r="E3" s="42"/>
      <c r="F3" s="42"/>
      <c r="G3" s="42"/>
      <c r="H3" s="42"/>
      <c r="I3" s="42"/>
    </row>
    <row r="4" spans="2:23" x14ac:dyDescent="0.25">
      <c r="C4" s="42" t="s">
        <v>693</v>
      </c>
      <c r="D4" s="42"/>
      <c r="E4" s="42"/>
      <c r="F4" s="42"/>
      <c r="G4" s="42"/>
      <c r="H4" s="42"/>
      <c r="I4" s="42"/>
    </row>
    <row r="5" spans="2:23" x14ac:dyDescent="0.25">
      <c r="C5" s="43" t="s">
        <v>17</v>
      </c>
      <c r="D5" s="43"/>
      <c r="E5" s="43"/>
      <c r="F5" s="43"/>
      <c r="G5" s="43"/>
      <c r="H5" s="43"/>
      <c r="I5" s="43"/>
    </row>
    <row r="6" spans="2:23" x14ac:dyDescent="0.25">
      <c r="B6" s="16" t="s">
        <v>16</v>
      </c>
      <c r="C6" s="44" t="s">
        <v>18</v>
      </c>
      <c r="D6" s="44"/>
      <c r="E6" s="44"/>
      <c r="F6" s="44"/>
      <c r="G6" s="44"/>
      <c r="H6" s="44"/>
      <c r="I6" s="44"/>
    </row>
    <row r="7" spans="2:23" ht="15.75" x14ac:dyDescent="0.25">
      <c r="C7" s="32" t="s">
        <v>19</v>
      </c>
      <c r="D7" s="32"/>
      <c r="E7" s="32"/>
      <c r="F7" s="32"/>
      <c r="G7" s="32"/>
      <c r="H7" s="32"/>
      <c r="I7" s="32"/>
      <c r="K7" s="1"/>
    </row>
    <row r="8" spans="2:23" x14ac:dyDescent="0.25">
      <c r="O8" s="14"/>
    </row>
    <row r="9" spans="2:23" x14ac:dyDescent="0.25">
      <c r="W9" s="15"/>
    </row>
    <row r="10" spans="2:23" x14ac:dyDescent="0.25">
      <c r="G10" s="2" t="s">
        <v>8</v>
      </c>
      <c r="H10" s="2"/>
      <c r="I10" s="3"/>
      <c r="J10" s="4">
        <v>1304.31</v>
      </c>
    </row>
    <row r="11" spans="2:23" x14ac:dyDescent="0.25">
      <c r="G11" s="2" t="s">
        <v>9</v>
      </c>
      <c r="H11" s="2"/>
      <c r="I11" s="3"/>
      <c r="J11" s="10">
        <v>1304.31</v>
      </c>
    </row>
    <row r="12" spans="2:23" x14ac:dyDescent="0.25">
      <c r="G12" s="19"/>
      <c r="H12" s="19"/>
      <c r="I12" s="20"/>
      <c r="J12" s="20"/>
      <c r="K12" s="20"/>
      <c r="L12" s="20"/>
    </row>
    <row r="13" spans="2:23" x14ac:dyDescent="0.25">
      <c r="H13" s="11" t="s">
        <v>11</v>
      </c>
      <c r="I13" s="13" t="s">
        <v>12</v>
      </c>
      <c r="K13" s="20"/>
    </row>
    <row r="14" spans="2:23" x14ac:dyDescent="0.25">
      <c r="B14" s="40" t="s">
        <v>7</v>
      </c>
      <c r="C14" s="5"/>
      <c r="H14" s="12" t="s">
        <v>11</v>
      </c>
      <c r="I14" s="13" t="s">
        <v>13</v>
      </c>
      <c r="O14" s="14"/>
    </row>
    <row r="15" spans="2:23" x14ac:dyDescent="0.25">
      <c r="B15" s="40"/>
      <c r="C15" s="5"/>
      <c r="O15" s="14"/>
    </row>
    <row r="16" spans="2:23" x14ac:dyDescent="0.25">
      <c r="B16" s="33" t="s">
        <v>0</v>
      </c>
      <c r="C16" s="6"/>
      <c r="D16" s="35" t="s">
        <v>1</v>
      </c>
      <c r="E16" s="36"/>
      <c r="F16" s="37"/>
      <c r="G16" s="35" t="s">
        <v>5</v>
      </c>
      <c r="H16" s="37"/>
      <c r="I16" s="38" t="s">
        <v>6</v>
      </c>
      <c r="J16" s="38" t="s">
        <v>4</v>
      </c>
      <c r="W16" s="15"/>
    </row>
    <row r="17" spans="2:11" x14ac:dyDescent="0.25">
      <c r="B17" s="34"/>
      <c r="C17" s="7" t="s">
        <v>10</v>
      </c>
      <c r="D17" s="3" t="s">
        <v>2</v>
      </c>
      <c r="E17" s="3" t="s">
        <v>3</v>
      </c>
      <c r="F17" s="3" t="s">
        <v>4</v>
      </c>
      <c r="G17" s="3" t="s">
        <v>2</v>
      </c>
      <c r="H17" s="3" t="s">
        <v>3</v>
      </c>
      <c r="I17" s="39"/>
      <c r="J17" s="39"/>
    </row>
    <row r="18" spans="2:11" x14ac:dyDescent="0.25">
      <c r="B18" s="22" t="s">
        <v>263</v>
      </c>
      <c r="C18" s="23" t="s">
        <v>600</v>
      </c>
      <c r="D18" s="23">
        <v>5</v>
      </c>
      <c r="E18" s="24">
        <v>31000</v>
      </c>
      <c r="F18" s="23">
        <v>1</v>
      </c>
      <c r="G18" s="23">
        <v>5</v>
      </c>
      <c r="H18" s="24">
        <v>31000</v>
      </c>
      <c r="I18" s="24">
        <f>H18-$J$11</f>
        <v>29695.69</v>
      </c>
      <c r="J18" s="23">
        <v>1</v>
      </c>
      <c r="K18" s="21"/>
    </row>
    <row r="19" spans="2:11" x14ac:dyDescent="0.25">
      <c r="B19" s="22" t="s">
        <v>304</v>
      </c>
      <c r="C19" s="23" t="s">
        <v>642</v>
      </c>
      <c r="D19" s="23">
        <v>12</v>
      </c>
      <c r="E19" s="24">
        <v>28666.67</v>
      </c>
      <c r="F19" s="23">
        <v>2</v>
      </c>
      <c r="G19" s="23">
        <v>12</v>
      </c>
      <c r="H19" s="25">
        <v>28666.67</v>
      </c>
      <c r="I19" s="24">
        <f>H19-$J$11</f>
        <v>27362.359999999997</v>
      </c>
      <c r="J19" s="23">
        <v>2</v>
      </c>
      <c r="K19" s="21"/>
    </row>
    <row r="20" spans="2:11" x14ac:dyDescent="0.25">
      <c r="B20" s="22" t="s">
        <v>111</v>
      </c>
      <c r="C20" s="23" t="s">
        <v>443</v>
      </c>
      <c r="D20" s="23">
        <v>5</v>
      </c>
      <c r="E20" s="24">
        <v>15500</v>
      </c>
      <c r="F20" s="23">
        <v>3</v>
      </c>
      <c r="G20" s="23">
        <v>5</v>
      </c>
      <c r="H20" s="24">
        <v>15500</v>
      </c>
      <c r="I20" s="24">
        <f>H20-$J$11</f>
        <v>14195.69</v>
      </c>
      <c r="J20" s="23">
        <v>3</v>
      </c>
      <c r="K20" s="21"/>
    </row>
    <row r="21" spans="2:11" x14ac:dyDescent="0.25">
      <c r="B21" s="22" t="s">
        <v>262</v>
      </c>
      <c r="C21" s="23" t="s">
        <v>599</v>
      </c>
      <c r="D21" s="23">
        <v>7</v>
      </c>
      <c r="E21" s="24">
        <v>9642.86</v>
      </c>
      <c r="F21" s="23">
        <v>4</v>
      </c>
      <c r="G21" s="23">
        <v>7</v>
      </c>
      <c r="H21" s="24">
        <v>9642.86</v>
      </c>
      <c r="I21" s="24">
        <f>H21-$J$11</f>
        <v>8338.5500000000011</v>
      </c>
      <c r="J21" s="23">
        <v>4</v>
      </c>
      <c r="K21" s="21"/>
    </row>
    <row r="22" spans="2:11" x14ac:dyDescent="0.25">
      <c r="B22" s="22" t="s">
        <v>346</v>
      </c>
      <c r="C22" s="23" t="s">
        <v>471</v>
      </c>
      <c r="D22" s="23">
        <v>150</v>
      </c>
      <c r="E22" s="24">
        <v>4800.66</v>
      </c>
      <c r="F22" s="23">
        <v>5</v>
      </c>
      <c r="G22" s="23">
        <v>150</v>
      </c>
      <c r="H22" s="24">
        <v>4800.66</v>
      </c>
      <c r="I22" s="24">
        <f>H22-$J$11</f>
        <v>3496.35</v>
      </c>
      <c r="J22" s="23">
        <v>5</v>
      </c>
      <c r="K22" s="21"/>
    </row>
    <row r="23" spans="2:11" x14ac:dyDescent="0.25">
      <c r="B23" s="22" t="s">
        <v>23</v>
      </c>
      <c r="C23" s="23" t="s">
        <v>351</v>
      </c>
      <c r="D23" s="23">
        <v>180</v>
      </c>
      <c r="E23" s="24">
        <v>3572.15</v>
      </c>
      <c r="F23" s="23">
        <v>6</v>
      </c>
      <c r="G23" s="23">
        <v>180</v>
      </c>
      <c r="H23" s="24">
        <v>3572.15</v>
      </c>
      <c r="I23" s="24">
        <f>H23-$J$11</f>
        <v>2267.84</v>
      </c>
      <c r="J23" s="23">
        <v>6</v>
      </c>
      <c r="K23" s="21"/>
    </row>
    <row r="24" spans="2:11" x14ac:dyDescent="0.25">
      <c r="B24" s="22" t="s">
        <v>87</v>
      </c>
      <c r="C24" s="23" t="s">
        <v>419</v>
      </c>
      <c r="D24" s="23">
        <v>8090</v>
      </c>
      <c r="E24" s="24">
        <v>1719.86</v>
      </c>
      <c r="F24" s="23">
        <v>7</v>
      </c>
      <c r="G24" s="23">
        <v>8090</v>
      </c>
      <c r="H24" s="24">
        <v>1719.86</v>
      </c>
      <c r="I24" s="24">
        <f>H24-$J$11</f>
        <v>415.54999999999995</v>
      </c>
      <c r="J24" s="23">
        <v>7</v>
      </c>
      <c r="K24" s="21"/>
    </row>
    <row r="25" spans="2:11" x14ac:dyDescent="0.25">
      <c r="B25" s="22" t="s">
        <v>247</v>
      </c>
      <c r="C25" s="23" t="s">
        <v>584</v>
      </c>
      <c r="D25" s="23">
        <v>12631</v>
      </c>
      <c r="E25" s="24">
        <v>1707.54</v>
      </c>
      <c r="F25" s="23">
        <v>8</v>
      </c>
      <c r="G25" s="23">
        <v>12631</v>
      </c>
      <c r="H25" s="24">
        <v>1707.54</v>
      </c>
      <c r="I25" s="24">
        <f>H25-$J$11</f>
        <v>403.23</v>
      </c>
      <c r="J25" s="23">
        <v>8</v>
      </c>
      <c r="K25" s="21"/>
    </row>
    <row r="26" spans="2:11" x14ac:dyDescent="0.25">
      <c r="B26" s="22" t="s">
        <v>185</v>
      </c>
      <c r="C26" s="23" t="s">
        <v>519</v>
      </c>
      <c r="D26" s="23">
        <v>3648</v>
      </c>
      <c r="E26" s="24">
        <v>1693.59</v>
      </c>
      <c r="F26" s="23">
        <v>9</v>
      </c>
      <c r="G26" s="23">
        <v>3648</v>
      </c>
      <c r="H26" s="24">
        <v>1693.59</v>
      </c>
      <c r="I26" s="24">
        <f>H26-$J$11</f>
        <v>389.28</v>
      </c>
      <c r="J26" s="23">
        <v>9</v>
      </c>
      <c r="K26" s="21"/>
    </row>
    <row r="27" spans="2:11" x14ac:dyDescent="0.25">
      <c r="B27" s="22" t="s">
        <v>680</v>
      </c>
      <c r="C27" s="23" t="s">
        <v>681</v>
      </c>
      <c r="D27" s="23">
        <v>2170</v>
      </c>
      <c r="E27" s="24">
        <v>1663.92</v>
      </c>
      <c r="F27" s="23">
        <v>10</v>
      </c>
      <c r="G27" s="23">
        <v>2170</v>
      </c>
      <c r="H27" s="24">
        <v>1663.92</v>
      </c>
      <c r="I27" s="24">
        <f>H27-$J$11</f>
        <v>359.61000000000013</v>
      </c>
      <c r="J27" s="23">
        <v>10</v>
      </c>
      <c r="K27" s="21"/>
    </row>
    <row r="28" spans="2:11" x14ac:dyDescent="0.25">
      <c r="B28" s="22" t="s">
        <v>144</v>
      </c>
      <c r="C28" s="23" t="s">
        <v>477</v>
      </c>
      <c r="D28" s="23">
        <v>1150</v>
      </c>
      <c r="E28" s="24">
        <v>1663.3</v>
      </c>
      <c r="F28" s="23">
        <v>11</v>
      </c>
      <c r="G28" s="23">
        <v>1150</v>
      </c>
      <c r="H28" s="24">
        <v>1663.3</v>
      </c>
      <c r="I28" s="24">
        <f>H28-$J$11</f>
        <v>358.99</v>
      </c>
      <c r="J28" s="23">
        <v>11</v>
      </c>
      <c r="K28" s="21"/>
    </row>
    <row r="29" spans="2:11" x14ac:dyDescent="0.25">
      <c r="B29" s="22" t="s">
        <v>157</v>
      </c>
      <c r="C29" s="23" t="s">
        <v>490</v>
      </c>
      <c r="D29" s="23">
        <v>8840</v>
      </c>
      <c r="E29" s="24">
        <v>1663.24</v>
      </c>
      <c r="F29" s="23">
        <v>12</v>
      </c>
      <c r="G29" s="23">
        <v>8840</v>
      </c>
      <c r="H29" s="24">
        <v>1663.24</v>
      </c>
      <c r="I29" s="24">
        <f>H29-$J$11</f>
        <v>358.93000000000006</v>
      </c>
      <c r="J29" s="23">
        <v>12</v>
      </c>
      <c r="K29" s="21"/>
    </row>
    <row r="30" spans="2:11" x14ac:dyDescent="0.25">
      <c r="B30" s="22" t="s">
        <v>181</v>
      </c>
      <c r="C30" s="23" t="s">
        <v>515</v>
      </c>
      <c r="D30" s="23">
        <v>8748</v>
      </c>
      <c r="E30" s="24">
        <v>1630.7</v>
      </c>
      <c r="F30" s="23">
        <v>13</v>
      </c>
      <c r="G30" s="23">
        <v>8748</v>
      </c>
      <c r="H30" s="24">
        <v>1630.7</v>
      </c>
      <c r="I30" s="24">
        <f>H30-$J$11</f>
        <v>326.3900000000001</v>
      </c>
      <c r="J30" s="23">
        <v>13</v>
      </c>
      <c r="K30" s="21"/>
    </row>
    <row r="31" spans="2:11" x14ac:dyDescent="0.25">
      <c r="B31" s="22" t="s">
        <v>297</v>
      </c>
      <c r="C31" s="23" t="s">
        <v>635</v>
      </c>
      <c r="D31" s="23">
        <v>10098</v>
      </c>
      <c r="E31" s="24">
        <v>1627.05</v>
      </c>
      <c r="F31" s="23">
        <v>14</v>
      </c>
      <c r="G31" s="23">
        <v>10098</v>
      </c>
      <c r="H31" s="24">
        <v>1627.05</v>
      </c>
      <c r="I31" s="24">
        <f>H31-$J$11</f>
        <v>322.74</v>
      </c>
      <c r="J31" s="23">
        <v>14</v>
      </c>
      <c r="K31" s="21"/>
    </row>
    <row r="32" spans="2:11" x14ac:dyDescent="0.25">
      <c r="B32" s="22" t="s">
        <v>158</v>
      </c>
      <c r="C32" s="23" t="s">
        <v>491</v>
      </c>
      <c r="D32" s="23">
        <v>4132</v>
      </c>
      <c r="E32" s="24">
        <v>1610.14</v>
      </c>
      <c r="F32" s="23">
        <v>15</v>
      </c>
      <c r="G32" s="23">
        <v>4132</v>
      </c>
      <c r="H32" s="24">
        <v>1610.14</v>
      </c>
      <c r="I32" s="24">
        <f>H32-$J$11</f>
        <v>305.83000000000015</v>
      </c>
      <c r="J32" s="23">
        <v>15</v>
      </c>
      <c r="K32" s="21"/>
    </row>
    <row r="33" spans="2:11" x14ac:dyDescent="0.25">
      <c r="B33" s="22" t="s">
        <v>202</v>
      </c>
      <c r="C33" s="23" t="s">
        <v>536</v>
      </c>
      <c r="D33" s="23">
        <v>980</v>
      </c>
      <c r="E33" s="24">
        <v>1602.04</v>
      </c>
      <c r="F33" s="23">
        <v>16</v>
      </c>
      <c r="G33" s="23">
        <v>980</v>
      </c>
      <c r="H33" s="24">
        <v>1602.04</v>
      </c>
      <c r="I33" s="24">
        <f>H33-$J$11</f>
        <v>297.73</v>
      </c>
      <c r="J33" s="23">
        <v>16</v>
      </c>
      <c r="K33" s="21"/>
    </row>
    <row r="34" spans="2:11" x14ac:dyDescent="0.25">
      <c r="B34" s="22" t="s">
        <v>163</v>
      </c>
      <c r="C34" s="23" t="s">
        <v>496</v>
      </c>
      <c r="D34" s="23">
        <v>16378</v>
      </c>
      <c r="E34" s="24">
        <v>1584.41</v>
      </c>
      <c r="F34" s="23">
        <v>17</v>
      </c>
      <c r="G34" s="23">
        <v>16378</v>
      </c>
      <c r="H34" s="24">
        <v>1584.41</v>
      </c>
      <c r="I34" s="24">
        <f>H34-$J$11</f>
        <v>280.10000000000014</v>
      </c>
      <c r="J34" s="23">
        <v>17</v>
      </c>
      <c r="K34" s="21"/>
    </row>
    <row r="35" spans="2:11" x14ac:dyDescent="0.25">
      <c r="B35" s="22" t="s">
        <v>212</v>
      </c>
      <c r="C35" s="23" t="s">
        <v>546</v>
      </c>
      <c r="D35" s="23">
        <v>17160</v>
      </c>
      <c r="E35" s="24">
        <v>1584.08</v>
      </c>
      <c r="F35" s="23">
        <v>18</v>
      </c>
      <c r="G35" s="23">
        <v>17160</v>
      </c>
      <c r="H35" s="25">
        <v>1584.08</v>
      </c>
      <c r="I35" s="24">
        <f>H35-$J$11</f>
        <v>279.77</v>
      </c>
      <c r="J35" s="23">
        <v>18</v>
      </c>
      <c r="K35" s="21"/>
    </row>
    <row r="36" spans="2:11" x14ac:dyDescent="0.25">
      <c r="B36" s="22" t="s">
        <v>261</v>
      </c>
      <c r="C36" s="23" t="s">
        <v>598</v>
      </c>
      <c r="D36" s="23">
        <v>8670</v>
      </c>
      <c r="E36" s="24">
        <v>1582.19</v>
      </c>
      <c r="F36" s="23">
        <v>19</v>
      </c>
      <c r="G36" s="23">
        <v>8670</v>
      </c>
      <c r="H36" s="24">
        <v>1582.19</v>
      </c>
      <c r="I36" s="24">
        <f>H36-$J$11</f>
        <v>277.88000000000011</v>
      </c>
      <c r="J36" s="23">
        <v>19</v>
      </c>
      <c r="K36" s="21"/>
    </row>
    <row r="37" spans="2:11" x14ac:dyDescent="0.25">
      <c r="B37" s="22" t="s">
        <v>344</v>
      </c>
      <c r="C37" s="23" t="s">
        <v>629</v>
      </c>
      <c r="D37" s="23">
        <v>2760</v>
      </c>
      <c r="E37" s="24">
        <v>1581.78</v>
      </c>
      <c r="F37" s="23">
        <v>20</v>
      </c>
      <c r="G37" s="23">
        <v>2760</v>
      </c>
      <c r="H37" s="24">
        <v>1581.78</v>
      </c>
      <c r="I37" s="24">
        <f>H37-$J$11</f>
        <v>277.47000000000003</v>
      </c>
      <c r="J37" s="23">
        <v>20</v>
      </c>
      <c r="K37" s="21"/>
    </row>
    <row r="38" spans="2:11" x14ac:dyDescent="0.25">
      <c r="B38" s="22" t="s">
        <v>120</v>
      </c>
      <c r="C38" s="23" t="s">
        <v>452</v>
      </c>
      <c r="D38" s="23">
        <v>10678</v>
      </c>
      <c r="E38" s="24">
        <v>1563.75</v>
      </c>
      <c r="F38" s="23">
        <v>21</v>
      </c>
      <c r="G38" s="23">
        <v>10678</v>
      </c>
      <c r="H38" s="24">
        <v>1563.75</v>
      </c>
      <c r="I38" s="24">
        <f>H38-$J$11</f>
        <v>259.44000000000005</v>
      </c>
      <c r="J38" s="23">
        <v>21</v>
      </c>
      <c r="K38" s="21"/>
    </row>
    <row r="39" spans="2:11" x14ac:dyDescent="0.25">
      <c r="B39" s="22" t="s">
        <v>318</v>
      </c>
      <c r="C39" s="23" t="s">
        <v>656</v>
      </c>
      <c r="D39" s="23">
        <v>26448</v>
      </c>
      <c r="E39" s="24">
        <v>1561.72</v>
      </c>
      <c r="F39" s="23">
        <v>22</v>
      </c>
      <c r="G39" s="23">
        <v>26448</v>
      </c>
      <c r="H39" s="25">
        <v>1561.72</v>
      </c>
      <c r="I39" s="24">
        <f>H39-$J$11</f>
        <v>257.41000000000008</v>
      </c>
      <c r="J39" s="23">
        <v>22</v>
      </c>
      <c r="K39" s="21"/>
    </row>
    <row r="40" spans="2:11" x14ac:dyDescent="0.25">
      <c r="B40" s="22" t="s">
        <v>290</v>
      </c>
      <c r="C40" s="23" t="s">
        <v>627</v>
      </c>
      <c r="D40" s="23">
        <v>1720</v>
      </c>
      <c r="E40" s="24">
        <v>1561.63</v>
      </c>
      <c r="F40" s="23">
        <v>23</v>
      </c>
      <c r="G40" s="23">
        <v>1720</v>
      </c>
      <c r="H40" s="24">
        <v>1561.63</v>
      </c>
      <c r="I40" s="24">
        <f>H40-$J$11</f>
        <v>257.32000000000016</v>
      </c>
      <c r="J40" s="23">
        <v>23</v>
      </c>
      <c r="K40" s="21"/>
    </row>
    <row r="41" spans="2:11" x14ac:dyDescent="0.25">
      <c r="B41" s="22" t="s">
        <v>85</v>
      </c>
      <c r="C41" s="23" t="s">
        <v>417</v>
      </c>
      <c r="D41" s="23">
        <v>7250</v>
      </c>
      <c r="E41" s="24">
        <v>1551.83</v>
      </c>
      <c r="F41" s="23">
        <v>24</v>
      </c>
      <c r="G41" s="23">
        <v>7250</v>
      </c>
      <c r="H41" s="24">
        <v>1551.83</v>
      </c>
      <c r="I41" s="24">
        <f>H41-$J$11</f>
        <v>247.51999999999998</v>
      </c>
      <c r="J41" s="23">
        <v>24</v>
      </c>
      <c r="K41" s="21"/>
    </row>
    <row r="42" spans="2:11" x14ac:dyDescent="0.25">
      <c r="B42" s="22" t="s">
        <v>34</v>
      </c>
      <c r="C42" s="23" t="s">
        <v>363</v>
      </c>
      <c r="D42" s="23">
        <v>22935</v>
      </c>
      <c r="E42" s="24">
        <v>1548.4</v>
      </c>
      <c r="F42" s="23">
        <v>25</v>
      </c>
      <c r="G42" s="23">
        <v>22935</v>
      </c>
      <c r="H42" s="24">
        <v>1548.4</v>
      </c>
      <c r="I42" s="24">
        <f>H42-$J$11</f>
        <v>244.09000000000015</v>
      </c>
      <c r="J42" s="23">
        <v>25</v>
      </c>
      <c r="K42" s="21"/>
    </row>
    <row r="43" spans="2:11" x14ac:dyDescent="0.25">
      <c r="B43" s="22" t="s">
        <v>300</v>
      </c>
      <c r="C43" s="23" t="s">
        <v>638</v>
      </c>
      <c r="D43" s="23">
        <v>7300</v>
      </c>
      <c r="E43" s="24">
        <v>1547.64</v>
      </c>
      <c r="F43" s="23">
        <v>26</v>
      </c>
      <c r="G43" s="23">
        <v>7300</v>
      </c>
      <c r="H43" s="24">
        <v>1547.64</v>
      </c>
      <c r="I43" s="24">
        <f>H43-$J$11</f>
        <v>243.33000000000015</v>
      </c>
      <c r="J43" s="23">
        <v>26</v>
      </c>
      <c r="K43" s="21"/>
    </row>
    <row r="44" spans="2:11" x14ac:dyDescent="0.25">
      <c r="B44" s="22" t="s">
        <v>52</v>
      </c>
      <c r="C44" s="23" t="s">
        <v>381</v>
      </c>
      <c r="D44" s="23">
        <v>9540</v>
      </c>
      <c r="E44" s="24">
        <v>1546.79</v>
      </c>
      <c r="F44" s="23">
        <v>27</v>
      </c>
      <c r="G44" s="23">
        <v>9540</v>
      </c>
      <c r="H44" s="24">
        <v>1546.79</v>
      </c>
      <c r="I44" s="24">
        <f>H44-$J$11</f>
        <v>242.48000000000002</v>
      </c>
      <c r="J44" s="23">
        <v>27</v>
      </c>
      <c r="K44" s="21"/>
    </row>
    <row r="45" spans="2:11" x14ac:dyDescent="0.25">
      <c r="B45" s="22" t="s">
        <v>76</v>
      </c>
      <c r="C45" s="23" t="s">
        <v>407</v>
      </c>
      <c r="D45" s="23">
        <v>7298</v>
      </c>
      <c r="E45" s="24">
        <v>1544.29</v>
      </c>
      <c r="F45" s="23">
        <v>28</v>
      </c>
      <c r="G45" s="23">
        <v>7298</v>
      </c>
      <c r="H45" s="24">
        <v>1544.29</v>
      </c>
      <c r="I45" s="24">
        <f>H45-$J$11</f>
        <v>239.98000000000002</v>
      </c>
      <c r="J45" s="23">
        <v>28</v>
      </c>
      <c r="K45" s="21"/>
    </row>
    <row r="46" spans="2:11" x14ac:dyDescent="0.25">
      <c r="B46" s="22" t="s">
        <v>102</v>
      </c>
      <c r="C46" s="23" t="s">
        <v>434</v>
      </c>
      <c r="D46" s="23">
        <v>7350</v>
      </c>
      <c r="E46" s="24">
        <v>1543.52</v>
      </c>
      <c r="F46" s="23">
        <v>29</v>
      </c>
      <c r="G46" s="23">
        <v>7350</v>
      </c>
      <c r="H46" s="24">
        <v>1543.52</v>
      </c>
      <c r="I46" s="24">
        <f>H46-$J$11</f>
        <v>239.21000000000004</v>
      </c>
      <c r="J46" s="23">
        <v>29</v>
      </c>
      <c r="K46" s="21"/>
    </row>
    <row r="47" spans="2:11" x14ac:dyDescent="0.25">
      <c r="B47" s="22" t="s">
        <v>282</v>
      </c>
      <c r="C47" s="23" t="s">
        <v>619</v>
      </c>
      <c r="D47" s="23">
        <v>5410</v>
      </c>
      <c r="E47" s="24">
        <v>1540.72</v>
      </c>
      <c r="F47" s="23">
        <v>30</v>
      </c>
      <c r="G47" s="23">
        <v>5410</v>
      </c>
      <c r="H47" s="24">
        <v>1540.72</v>
      </c>
      <c r="I47" s="24">
        <f>H47-$J$11</f>
        <v>236.41000000000008</v>
      </c>
      <c r="J47" s="23">
        <v>30</v>
      </c>
      <c r="K47" s="21"/>
    </row>
    <row r="48" spans="2:11" x14ac:dyDescent="0.25">
      <c r="B48" s="22" t="s">
        <v>321</v>
      </c>
      <c r="C48" s="23" t="s">
        <v>659</v>
      </c>
      <c r="D48" s="23">
        <v>7666</v>
      </c>
      <c r="E48" s="24">
        <v>1539.03</v>
      </c>
      <c r="F48" s="23">
        <v>31</v>
      </c>
      <c r="G48" s="23">
        <v>7666</v>
      </c>
      <c r="H48" s="25">
        <v>1539.03</v>
      </c>
      <c r="I48" s="24">
        <f>H48-$J$11</f>
        <v>234.72000000000003</v>
      </c>
      <c r="J48" s="23">
        <v>31</v>
      </c>
      <c r="K48" s="21"/>
    </row>
    <row r="49" spans="2:11" x14ac:dyDescent="0.25">
      <c r="B49" s="22" t="s">
        <v>196</v>
      </c>
      <c r="C49" s="23" t="s">
        <v>530</v>
      </c>
      <c r="D49" s="23">
        <v>7830</v>
      </c>
      <c r="E49" s="24">
        <v>1538.99</v>
      </c>
      <c r="F49" s="23">
        <v>32</v>
      </c>
      <c r="G49" s="23">
        <v>7830</v>
      </c>
      <c r="H49" s="24">
        <v>1538.99</v>
      </c>
      <c r="I49" s="24">
        <f>H49-$J$11</f>
        <v>234.68000000000006</v>
      </c>
      <c r="J49" s="23">
        <v>32</v>
      </c>
      <c r="K49" s="21"/>
    </row>
    <row r="50" spans="2:11" x14ac:dyDescent="0.25">
      <c r="B50" s="22" t="s">
        <v>315</v>
      </c>
      <c r="C50" s="23" t="s">
        <v>653</v>
      </c>
      <c r="D50" s="23">
        <v>5707</v>
      </c>
      <c r="E50" s="24">
        <v>1538.76</v>
      </c>
      <c r="F50" s="23">
        <v>33</v>
      </c>
      <c r="G50" s="23">
        <v>5707</v>
      </c>
      <c r="H50" s="25">
        <v>1538.76</v>
      </c>
      <c r="I50" s="24">
        <f>H50-$J$11</f>
        <v>234.45000000000005</v>
      </c>
      <c r="J50" s="23">
        <v>33</v>
      </c>
      <c r="K50" s="21"/>
    </row>
    <row r="51" spans="2:11" x14ac:dyDescent="0.25">
      <c r="B51" s="22" t="s">
        <v>342</v>
      </c>
      <c r="C51" s="23" t="s">
        <v>556</v>
      </c>
      <c r="D51" s="23">
        <v>560</v>
      </c>
      <c r="E51" s="24">
        <v>1537.5</v>
      </c>
      <c r="F51" s="23">
        <v>34</v>
      </c>
      <c r="G51" s="23">
        <v>560</v>
      </c>
      <c r="H51" s="24">
        <v>1537.5</v>
      </c>
      <c r="I51" s="24">
        <f>H51-$J$11</f>
        <v>233.19000000000005</v>
      </c>
      <c r="J51" s="23">
        <v>34</v>
      </c>
      <c r="K51" s="21"/>
    </row>
    <row r="52" spans="2:11" x14ac:dyDescent="0.25">
      <c r="B52" s="22" t="s">
        <v>142</v>
      </c>
      <c r="C52" s="23" t="s">
        <v>475</v>
      </c>
      <c r="D52" s="23">
        <v>8153</v>
      </c>
      <c r="E52" s="24">
        <v>1535.74</v>
      </c>
      <c r="F52" s="23">
        <v>35</v>
      </c>
      <c r="G52" s="23">
        <v>8153</v>
      </c>
      <c r="H52" s="24">
        <v>1535.74</v>
      </c>
      <c r="I52" s="24">
        <f>H52-$J$11</f>
        <v>231.43000000000006</v>
      </c>
      <c r="J52" s="23">
        <v>35</v>
      </c>
      <c r="K52" s="21"/>
    </row>
    <row r="53" spans="2:11" x14ac:dyDescent="0.25">
      <c r="B53" s="22" t="s">
        <v>105</v>
      </c>
      <c r="C53" s="23" t="s">
        <v>437</v>
      </c>
      <c r="D53" s="23">
        <v>5410</v>
      </c>
      <c r="E53" s="24">
        <v>1535.67</v>
      </c>
      <c r="F53" s="23">
        <v>36</v>
      </c>
      <c r="G53" s="23">
        <v>5410</v>
      </c>
      <c r="H53" s="24">
        <v>1535.67</v>
      </c>
      <c r="I53" s="24">
        <f>H53-$J$11</f>
        <v>231.36000000000013</v>
      </c>
      <c r="J53" s="23">
        <v>36</v>
      </c>
      <c r="K53" s="21"/>
    </row>
    <row r="54" spans="2:11" x14ac:dyDescent="0.25">
      <c r="B54" s="22" t="s">
        <v>98</v>
      </c>
      <c r="C54" s="23" t="s">
        <v>430</v>
      </c>
      <c r="D54" s="23">
        <v>6107</v>
      </c>
      <c r="E54" s="24">
        <v>1533.95</v>
      </c>
      <c r="F54" s="23">
        <v>37</v>
      </c>
      <c r="G54" s="23">
        <v>6107</v>
      </c>
      <c r="H54" s="24">
        <v>1533.95</v>
      </c>
      <c r="I54" s="24">
        <f>H54-$J$11</f>
        <v>229.6400000000001</v>
      </c>
      <c r="J54" s="23">
        <v>37</v>
      </c>
      <c r="K54" s="21"/>
    </row>
    <row r="55" spans="2:11" x14ac:dyDescent="0.25">
      <c r="B55" s="22" t="s">
        <v>176</v>
      </c>
      <c r="C55" s="23" t="s">
        <v>509</v>
      </c>
      <c r="D55" s="23">
        <v>6520</v>
      </c>
      <c r="E55" s="24">
        <v>1531.33</v>
      </c>
      <c r="F55" s="23">
        <v>38</v>
      </c>
      <c r="G55" s="23">
        <v>6520</v>
      </c>
      <c r="H55" s="24">
        <v>1531.33</v>
      </c>
      <c r="I55" s="24">
        <f>H55-$J$11</f>
        <v>227.01999999999998</v>
      </c>
      <c r="J55" s="23">
        <v>38</v>
      </c>
      <c r="K55" s="21"/>
    </row>
    <row r="56" spans="2:11" x14ac:dyDescent="0.25">
      <c r="B56" s="22" t="s">
        <v>41</v>
      </c>
      <c r="C56" s="23" t="s">
        <v>370</v>
      </c>
      <c r="D56" s="23">
        <v>3330</v>
      </c>
      <c r="E56" s="24">
        <v>1527.27</v>
      </c>
      <c r="F56" s="23">
        <v>39</v>
      </c>
      <c r="G56" s="23">
        <v>3330</v>
      </c>
      <c r="H56" s="25">
        <v>1527.27</v>
      </c>
      <c r="I56" s="24">
        <f>H56-$J$11</f>
        <v>222.96000000000004</v>
      </c>
      <c r="J56" s="23">
        <v>39</v>
      </c>
      <c r="K56" s="21"/>
    </row>
    <row r="57" spans="2:11" x14ac:dyDescent="0.25">
      <c r="B57" s="22" t="s">
        <v>243</v>
      </c>
      <c r="C57" s="23" t="s">
        <v>579</v>
      </c>
      <c r="D57" s="23">
        <v>18423</v>
      </c>
      <c r="E57" s="24">
        <v>1520.97</v>
      </c>
      <c r="F57" s="23">
        <v>40</v>
      </c>
      <c r="G57" s="23">
        <v>18423</v>
      </c>
      <c r="H57" s="24">
        <v>1520.97</v>
      </c>
      <c r="I57" s="24">
        <f>H57-$J$11</f>
        <v>216.66000000000008</v>
      </c>
      <c r="J57" s="23">
        <v>40</v>
      </c>
      <c r="K57" s="21"/>
    </row>
    <row r="58" spans="2:11" x14ac:dyDescent="0.25">
      <c r="B58" s="22" t="s">
        <v>79</v>
      </c>
      <c r="C58" s="23" t="s">
        <v>410</v>
      </c>
      <c r="D58" s="23">
        <v>22151</v>
      </c>
      <c r="E58" s="24">
        <v>1519.01</v>
      </c>
      <c r="F58" s="23">
        <v>41</v>
      </c>
      <c r="G58" s="23">
        <v>22151</v>
      </c>
      <c r="H58" s="24">
        <v>1519.01</v>
      </c>
      <c r="I58" s="24">
        <f>H58-$J$11</f>
        <v>214.70000000000005</v>
      </c>
      <c r="J58" s="23">
        <v>41</v>
      </c>
      <c r="K58" s="21"/>
    </row>
    <row r="59" spans="2:11" x14ac:dyDescent="0.25">
      <c r="B59" s="22" t="s">
        <v>201</v>
      </c>
      <c r="C59" s="23" t="s">
        <v>535</v>
      </c>
      <c r="D59" s="23">
        <v>5395</v>
      </c>
      <c r="E59" s="24">
        <v>1518.8</v>
      </c>
      <c r="F59" s="23">
        <v>42</v>
      </c>
      <c r="G59" s="23">
        <v>5395</v>
      </c>
      <c r="H59" s="24">
        <v>1518.8</v>
      </c>
      <c r="I59" s="24">
        <f>H59-$J$11</f>
        <v>214.49</v>
      </c>
      <c r="J59" s="23">
        <v>42</v>
      </c>
      <c r="K59" s="21"/>
    </row>
    <row r="60" spans="2:11" x14ac:dyDescent="0.25">
      <c r="B60" s="22" t="s">
        <v>42</v>
      </c>
      <c r="C60" s="23" t="s">
        <v>371</v>
      </c>
      <c r="D60" s="23">
        <v>9458</v>
      </c>
      <c r="E60" s="24">
        <v>1515.78</v>
      </c>
      <c r="F60" s="23">
        <v>43</v>
      </c>
      <c r="G60" s="23">
        <v>9458</v>
      </c>
      <c r="H60" s="24">
        <v>1515.78</v>
      </c>
      <c r="I60" s="24">
        <f>H60-$J$11</f>
        <v>211.47000000000003</v>
      </c>
      <c r="J60" s="23">
        <v>43</v>
      </c>
      <c r="K60" s="21"/>
    </row>
    <row r="61" spans="2:11" x14ac:dyDescent="0.25">
      <c r="B61" s="22" t="s">
        <v>82</v>
      </c>
      <c r="C61" s="23" t="s">
        <v>413</v>
      </c>
      <c r="D61" s="23">
        <v>26340</v>
      </c>
      <c r="E61" s="24">
        <v>1515.02</v>
      </c>
      <c r="F61" s="23">
        <v>44</v>
      </c>
      <c r="G61" s="23">
        <v>26340</v>
      </c>
      <c r="H61" s="25">
        <v>1515.02</v>
      </c>
      <c r="I61" s="24">
        <f>H61-$J$11</f>
        <v>210.71000000000004</v>
      </c>
      <c r="J61" s="23">
        <v>44</v>
      </c>
      <c r="K61" s="21"/>
    </row>
    <row r="62" spans="2:11" x14ac:dyDescent="0.25">
      <c r="B62" s="22" t="s">
        <v>62</v>
      </c>
      <c r="C62" s="23" t="s">
        <v>393</v>
      </c>
      <c r="D62" s="23">
        <v>9863</v>
      </c>
      <c r="E62" s="24">
        <v>1513.4</v>
      </c>
      <c r="F62" s="23">
        <v>45</v>
      </c>
      <c r="G62" s="23">
        <v>9863</v>
      </c>
      <c r="H62" s="24">
        <v>1513.4</v>
      </c>
      <c r="I62" s="24">
        <f>H62-$J$11</f>
        <v>209.09000000000015</v>
      </c>
      <c r="J62" s="23">
        <v>45</v>
      </c>
      <c r="K62" s="21"/>
    </row>
    <row r="63" spans="2:11" x14ac:dyDescent="0.25">
      <c r="B63" s="22" t="s">
        <v>229</v>
      </c>
      <c r="C63" s="23" t="s">
        <v>565</v>
      </c>
      <c r="D63" s="23">
        <v>9642</v>
      </c>
      <c r="E63" s="24">
        <v>1511.94</v>
      </c>
      <c r="F63" s="23">
        <v>46</v>
      </c>
      <c r="G63" s="23">
        <v>9642</v>
      </c>
      <c r="H63" s="24">
        <v>1511.94</v>
      </c>
      <c r="I63" s="24">
        <f>H63-$J$11</f>
        <v>207.63000000000011</v>
      </c>
      <c r="J63" s="23">
        <v>46</v>
      </c>
      <c r="K63" s="21"/>
    </row>
    <row r="64" spans="2:11" x14ac:dyDescent="0.25">
      <c r="B64" s="22" t="s">
        <v>131</v>
      </c>
      <c r="C64" s="23" t="s">
        <v>463</v>
      </c>
      <c r="D64" s="23">
        <v>7498</v>
      </c>
      <c r="E64" s="24">
        <v>1511.58</v>
      </c>
      <c r="F64" s="23">
        <v>47</v>
      </c>
      <c r="G64" s="23">
        <v>7498</v>
      </c>
      <c r="H64" s="24">
        <v>1511.58</v>
      </c>
      <c r="I64" s="24">
        <f>H64-$J$11</f>
        <v>207.26999999999998</v>
      </c>
      <c r="J64" s="23">
        <v>47</v>
      </c>
      <c r="K64" s="21"/>
    </row>
    <row r="65" spans="2:11" x14ac:dyDescent="0.25">
      <c r="B65" s="22" t="s">
        <v>260</v>
      </c>
      <c r="C65" s="23" t="s">
        <v>597</v>
      </c>
      <c r="D65" s="23">
        <v>10193</v>
      </c>
      <c r="E65" s="24">
        <v>1508.22</v>
      </c>
      <c r="F65" s="23">
        <v>48</v>
      </c>
      <c r="G65" s="23">
        <v>10193</v>
      </c>
      <c r="H65" s="24">
        <v>1508.22</v>
      </c>
      <c r="I65" s="24">
        <f>H65-$J$11</f>
        <v>203.91000000000008</v>
      </c>
      <c r="J65" s="23">
        <v>48</v>
      </c>
      <c r="K65" s="21"/>
    </row>
    <row r="66" spans="2:11" x14ac:dyDescent="0.25">
      <c r="B66" s="22" t="s">
        <v>156</v>
      </c>
      <c r="C66" s="23" t="s">
        <v>489</v>
      </c>
      <c r="D66" s="23">
        <v>14327</v>
      </c>
      <c r="E66" s="24">
        <v>1504.99</v>
      </c>
      <c r="F66" s="23">
        <v>49</v>
      </c>
      <c r="G66" s="23">
        <v>14327</v>
      </c>
      <c r="H66" s="24">
        <v>1504.99</v>
      </c>
      <c r="I66" s="24">
        <f>H66-$J$11</f>
        <v>200.68000000000006</v>
      </c>
      <c r="J66" s="23">
        <v>49</v>
      </c>
      <c r="K66" s="21"/>
    </row>
    <row r="67" spans="2:11" x14ac:dyDescent="0.25">
      <c r="B67" s="22" t="s">
        <v>186</v>
      </c>
      <c r="C67" s="23" t="s">
        <v>520</v>
      </c>
      <c r="D67" s="23">
        <v>8513</v>
      </c>
      <c r="E67" s="24">
        <v>1503.43</v>
      </c>
      <c r="F67" s="23">
        <v>50</v>
      </c>
      <c r="G67" s="23">
        <v>8513</v>
      </c>
      <c r="H67" s="24">
        <v>1503.43</v>
      </c>
      <c r="I67" s="24">
        <f>H67-$J$11</f>
        <v>199.12000000000012</v>
      </c>
      <c r="J67" s="23">
        <v>50</v>
      </c>
      <c r="K67" s="21"/>
    </row>
    <row r="68" spans="2:11" x14ac:dyDescent="0.25">
      <c r="B68" s="22" t="s">
        <v>83</v>
      </c>
      <c r="C68" s="23" t="s">
        <v>415</v>
      </c>
      <c r="D68" s="23">
        <v>9288</v>
      </c>
      <c r="E68" s="24">
        <v>1503</v>
      </c>
      <c r="F68" s="23">
        <v>51</v>
      </c>
      <c r="G68" s="23">
        <v>9288</v>
      </c>
      <c r="H68" s="25">
        <v>1503</v>
      </c>
      <c r="I68" s="24">
        <f>H68-$J$11</f>
        <v>198.69000000000005</v>
      </c>
      <c r="J68" s="23">
        <v>51</v>
      </c>
      <c r="K68" s="21"/>
    </row>
    <row r="69" spans="2:11" x14ac:dyDescent="0.25">
      <c r="B69" s="22" t="s">
        <v>280</v>
      </c>
      <c r="C69" s="23" t="s">
        <v>617</v>
      </c>
      <c r="D69" s="23">
        <v>11380</v>
      </c>
      <c r="E69" s="24">
        <v>1502.98</v>
      </c>
      <c r="F69" s="23">
        <v>52</v>
      </c>
      <c r="G69" s="23">
        <v>11380</v>
      </c>
      <c r="H69" s="24">
        <v>1502.98</v>
      </c>
      <c r="I69" s="24">
        <f>H69-$J$11</f>
        <v>198.67000000000007</v>
      </c>
      <c r="J69" s="23">
        <v>52</v>
      </c>
      <c r="K69" s="21"/>
    </row>
    <row r="70" spans="2:11" x14ac:dyDescent="0.25">
      <c r="B70" s="22" t="s">
        <v>20</v>
      </c>
      <c r="C70" s="23" t="s">
        <v>348</v>
      </c>
      <c r="D70" s="23">
        <v>7468</v>
      </c>
      <c r="E70" s="24">
        <v>1502.53</v>
      </c>
      <c r="F70" s="23">
        <v>53</v>
      </c>
      <c r="G70" s="23">
        <v>7468</v>
      </c>
      <c r="H70" s="24">
        <v>1502.53</v>
      </c>
      <c r="I70" s="24">
        <f>H70-$J$11</f>
        <v>198.22000000000003</v>
      </c>
      <c r="J70" s="23">
        <v>53</v>
      </c>
      <c r="K70" s="21"/>
    </row>
    <row r="71" spans="2:11" x14ac:dyDescent="0.25">
      <c r="B71" s="22" t="s">
        <v>59</v>
      </c>
      <c r="C71" s="23" t="s">
        <v>390</v>
      </c>
      <c r="D71" s="23">
        <v>7910</v>
      </c>
      <c r="E71" s="24">
        <v>1498.42</v>
      </c>
      <c r="F71" s="23">
        <v>54</v>
      </c>
      <c r="G71" s="23">
        <v>7910</v>
      </c>
      <c r="H71" s="25">
        <v>1498.42</v>
      </c>
      <c r="I71" s="24">
        <f>H71-$J$11</f>
        <v>194.11000000000013</v>
      </c>
      <c r="J71" s="23">
        <v>54</v>
      </c>
      <c r="K71" s="21"/>
    </row>
    <row r="72" spans="2:11" x14ac:dyDescent="0.25">
      <c r="B72" s="22" t="s">
        <v>320</v>
      </c>
      <c r="C72" s="23" t="s">
        <v>658</v>
      </c>
      <c r="D72" s="23">
        <v>1970</v>
      </c>
      <c r="E72" s="24">
        <v>1497.77</v>
      </c>
      <c r="F72" s="23">
        <v>55</v>
      </c>
      <c r="G72" s="23">
        <v>1970</v>
      </c>
      <c r="H72" s="25">
        <v>1497.77</v>
      </c>
      <c r="I72" s="24">
        <f>H72-$J$11</f>
        <v>193.46000000000004</v>
      </c>
      <c r="J72" s="23">
        <v>55</v>
      </c>
      <c r="K72" s="21"/>
    </row>
    <row r="73" spans="2:11" x14ac:dyDescent="0.25">
      <c r="B73" s="22" t="s">
        <v>162</v>
      </c>
      <c r="C73" s="23" t="s">
        <v>495</v>
      </c>
      <c r="D73" s="23">
        <v>7438</v>
      </c>
      <c r="E73" s="24">
        <v>1496.82</v>
      </c>
      <c r="F73" s="23">
        <v>56</v>
      </c>
      <c r="G73" s="23">
        <v>7438</v>
      </c>
      <c r="H73" s="24">
        <v>1496.82</v>
      </c>
      <c r="I73" s="24">
        <f>H73-$J$11</f>
        <v>192.51</v>
      </c>
      <c r="J73" s="23">
        <v>56</v>
      </c>
      <c r="K73" s="21"/>
    </row>
    <row r="74" spans="2:11" x14ac:dyDescent="0.25">
      <c r="B74" s="22" t="s">
        <v>149</v>
      </c>
      <c r="C74" s="23" t="s">
        <v>482</v>
      </c>
      <c r="D74" s="23">
        <v>3400</v>
      </c>
      <c r="E74" s="24">
        <v>1495.65</v>
      </c>
      <c r="F74" s="23">
        <v>57</v>
      </c>
      <c r="G74" s="23">
        <v>3400</v>
      </c>
      <c r="H74" s="26">
        <v>1495.65</v>
      </c>
      <c r="I74" s="24">
        <f>H74-$J$11</f>
        <v>191.34000000000015</v>
      </c>
      <c r="J74" s="23">
        <v>57</v>
      </c>
      <c r="K74" s="21"/>
    </row>
    <row r="75" spans="2:11" x14ac:dyDescent="0.25">
      <c r="B75" s="22" t="s">
        <v>231</v>
      </c>
      <c r="C75" s="23" t="s">
        <v>567</v>
      </c>
      <c r="D75" s="23">
        <v>8394</v>
      </c>
      <c r="E75" s="24">
        <v>1495.54</v>
      </c>
      <c r="F75" s="23">
        <v>58</v>
      </c>
      <c r="G75" s="23">
        <v>8394</v>
      </c>
      <c r="H75" s="24">
        <v>1495.54</v>
      </c>
      <c r="I75" s="24">
        <f>H75-$J$11</f>
        <v>191.23000000000002</v>
      </c>
      <c r="J75" s="23">
        <v>58</v>
      </c>
      <c r="K75" s="21"/>
    </row>
    <row r="76" spans="2:11" x14ac:dyDescent="0.25">
      <c r="B76" s="22" t="s">
        <v>150</v>
      </c>
      <c r="C76" s="23" t="s">
        <v>483</v>
      </c>
      <c r="D76" s="23">
        <v>8622</v>
      </c>
      <c r="E76" s="24">
        <v>1493.89</v>
      </c>
      <c r="F76" s="23">
        <v>59</v>
      </c>
      <c r="G76" s="23">
        <v>8622</v>
      </c>
      <c r="H76" s="24">
        <v>1493.89</v>
      </c>
      <c r="I76" s="24">
        <f>H76-$J$11</f>
        <v>189.58000000000015</v>
      </c>
      <c r="J76" s="23">
        <v>59</v>
      </c>
      <c r="K76" s="21"/>
    </row>
    <row r="77" spans="2:11" x14ac:dyDescent="0.25">
      <c r="B77" s="22" t="s">
        <v>50</v>
      </c>
      <c r="C77" s="23" t="s">
        <v>379</v>
      </c>
      <c r="D77" s="23">
        <v>5538</v>
      </c>
      <c r="E77" s="24">
        <v>1491.04</v>
      </c>
      <c r="F77" s="23">
        <v>60</v>
      </c>
      <c r="G77" s="23">
        <v>5538</v>
      </c>
      <c r="H77" s="25">
        <v>1491.04</v>
      </c>
      <c r="I77" s="24">
        <f>H77-$J$11</f>
        <v>186.73000000000002</v>
      </c>
      <c r="J77" s="23">
        <v>60</v>
      </c>
      <c r="K77" s="21"/>
    </row>
    <row r="78" spans="2:11" x14ac:dyDescent="0.25">
      <c r="B78" s="22" t="s">
        <v>57</v>
      </c>
      <c r="C78" s="23" t="s">
        <v>388</v>
      </c>
      <c r="D78" s="23">
        <v>6250</v>
      </c>
      <c r="E78" s="24">
        <v>1490.5</v>
      </c>
      <c r="F78" s="23">
        <v>61</v>
      </c>
      <c r="G78" s="23">
        <v>6250</v>
      </c>
      <c r="H78" s="24">
        <v>1490.5</v>
      </c>
      <c r="I78" s="24">
        <f>H78-$J$11</f>
        <v>186.19000000000005</v>
      </c>
      <c r="J78" s="23">
        <v>61</v>
      </c>
      <c r="K78" s="21"/>
    </row>
    <row r="79" spans="2:11" x14ac:dyDescent="0.25">
      <c r="B79" s="22" t="s">
        <v>190</v>
      </c>
      <c r="C79" s="23" t="s">
        <v>524</v>
      </c>
      <c r="D79" s="23">
        <v>10758</v>
      </c>
      <c r="E79" s="24">
        <v>1489.77</v>
      </c>
      <c r="F79" s="23">
        <v>62</v>
      </c>
      <c r="G79" s="23">
        <v>10758</v>
      </c>
      <c r="H79" s="24">
        <v>1489.77</v>
      </c>
      <c r="I79" s="24">
        <f>H79-$J$11</f>
        <v>185.46000000000004</v>
      </c>
      <c r="J79" s="23">
        <v>62</v>
      </c>
      <c r="K79" s="21"/>
    </row>
    <row r="80" spans="2:11" x14ac:dyDescent="0.25">
      <c r="B80" s="22" t="s">
        <v>146</v>
      </c>
      <c r="C80" s="23" t="s">
        <v>479</v>
      </c>
      <c r="D80" s="23">
        <v>9004</v>
      </c>
      <c r="E80" s="24">
        <v>1487.73</v>
      </c>
      <c r="F80" s="23">
        <v>63</v>
      </c>
      <c r="G80" s="23">
        <v>9004</v>
      </c>
      <c r="H80" s="24">
        <v>1487.73</v>
      </c>
      <c r="I80" s="24">
        <f>H80-$J$11</f>
        <v>183.42000000000007</v>
      </c>
      <c r="J80" s="23">
        <v>63</v>
      </c>
      <c r="K80" s="21"/>
    </row>
    <row r="81" spans="2:11" x14ac:dyDescent="0.25">
      <c r="B81" s="22" t="s">
        <v>218</v>
      </c>
      <c r="C81" s="23" t="s">
        <v>552</v>
      </c>
      <c r="D81" s="23">
        <v>3370</v>
      </c>
      <c r="E81" s="24">
        <v>1487.24</v>
      </c>
      <c r="F81" s="23">
        <v>64</v>
      </c>
      <c r="G81" s="23">
        <v>3370</v>
      </c>
      <c r="H81" s="24">
        <v>1487.24</v>
      </c>
      <c r="I81" s="24">
        <f>H81-$J$11</f>
        <v>182.93000000000006</v>
      </c>
      <c r="J81" s="23">
        <v>64</v>
      </c>
      <c r="K81" s="21"/>
    </row>
    <row r="82" spans="2:11" x14ac:dyDescent="0.25">
      <c r="B82" s="22" t="s">
        <v>154</v>
      </c>
      <c r="C82" s="23" t="s">
        <v>487</v>
      </c>
      <c r="D82" s="23">
        <v>15048</v>
      </c>
      <c r="E82" s="24">
        <v>1485.34</v>
      </c>
      <c r="F82" s="23">
        <v>65</v>
      </c>
      <c r="G82" s="23">
        <v>15048</v>
      </c>
      <c r="H82" s="24">
        <v>1485.34</v>
      </c>
      <c r="I82" s="24">
        <f>H82-$J$11</f>
        <v>181.02999999999997</v>
      </c>
      <c r="J82" s="23">
        <v>65</v>
      </c>
      <c r="K82" s="21"/>
    </row>
    <row r="83" spans="2:11" x14ac:dyDescent="0.25">
      <c r="B83" s="22" t="s">
        <v>230</v>
      </c>
      <c r="C83" s="23" t="s">
        <v>566</v>
      </c>
      <c r="D83" s="23">
        <v>5200</v>
      </c>
      <c r="E83" s="24">
        <v>1483</v>
      </c>
      <c r="F83" s="23">
        <v>66</v>
      </c>
      <c r="G83" s="23">
        <v>5200</v>
      </c>
      <c r="H83" s="24">
        <v>1483</v>
      </c>
      <c r="I83" s="24">
        <f>H83-$J$11</f>
        <v>178.69000000000005</v>
      </c>
      <c r="J83" s="23">
        <v>66</v>
      </c>
      <c r="K83" s="21"/>
    </row>
    <row r="84" spans="2:11" x14ac:dyDescent="0.25">
      <c r="B84" s="22" t="s">
        <v>252</v>
      </c>
      <c r="C84" s="23" t="s">
        <v>589</v>
      </c>
      <c r="D84" s="23">
        <v>5447</v>
      </c>
      <c r="E84" s="24">
        <v>1482.94</v>
      </c>
      <c r="F84" s="23">
        <v>67</v>
      </c>
      <c r="G84" s="23">
        <v>5447</v>
      </c>
      <c r="H84" s="25">
        <v>1482.94</v>
      </c>
      <c r="I84" s="24">
        <f>H84-$J$11</f>
        <v>178.63000000000011</v>
      </c>
      <c r="J84" s="23">
        <v>67</v>
      </c>
      <c r="K84" s="21"/>
    </row>
    <row r="85" spans="2:11" x14ac:dyDescent="0.25">
      <c r="B85" s="22" t="s">
        <v>248</v>
      </c>
      <c r="C85" s="23" t="s">
        <v>585</v>
      </c>
      <c r="D85" s="23">
        <v>10430</v>
      </c>
      <c r="E85" s="24">
        <v>1482.12</v>
      </c>
      <c r="F85" s="23">
        <v>68</v>
      </c>
      <c r="G85" s="23">
        <v>10430</v>
      </c>
      <c r="H85" s="24">
        <v>1482.12</v>
      </c>
      <c r="I85" s="24">
        <f>H85-$J$11</f>
        <v>177.80999999999995</v>
      </c>
      <c r="J85" s="23">
        <v>68</v>
      </c>
      <c r="K85" s="21"/>
    </row>
    <row r="86" spans="2:11" x14ac:dyDescent="0.25">
      <c r="B86" s="22" t="s">
        <v>313</v>
      </c>
      <c r="C86" s="23" t="s">
        <v>651</v>
      </c>
      <c r="D86" s="23">
        <v>5408</v>
      </c>
      <c r="E86" s="24">
        <v>1477.27</v>
      </c>
      <c r="F86" s="23">
        <v>69</v>
      </c>
      <c r="G86" s="23">
        <v>5408</v>
      </c>
      <c r="H86" s="25">
        <v>1477.27</v>
      </c>
      <c r="I86" s="24">
        <f>H86-$J$11</f>
        <v>172.96000000000004</v>
      </c>
      <c r="J86" s="23">
        <v>69</v>
      </c>
      <c r="K86" s="21"/>
    </row>
    <row r="87" spans="2:11" x14ac:dyDescent="0.25">
      <c r="B87" s="22" t="s">
        <v>253</v>
      </c>
      <c r="C87" s="23" t="s">
        <v>590</v>
      </c>
      <c r="D87" s="23">
        <v>6190</v>
      </c>
      <c r="E87" s="24">
        <v>1477.24</v>
      </c>
      <c r="F87" s="23">
        <v>70</v>
      </c>
      <c r="G87" s="23">
        <v>6190</v>
      </c>
      <c r="H87" s="24">
        <v>1477.24</v>
      </c>
      <c r="I87" s="24">
        <f>H87-$J$11</f>
        <v>172.93000000000006</v>
      </c>
      <c r="J87" s="23">
        <v>70</v>
      </c>
      <c r="K87" s="21"/>
    </row>
    <row r="88" spans="2:11" x14ac:dyDescent="0.25">
      <c r="B88" s="22" t="s">
        <v>140</v>
      </c>
      <c r="C88" s="23" t="s">
        <v>473</v>
      </c>
      <c r="D88" s="23">
        <v>17920</v>
      </c>
      <c r="E88" s="24">
        <v>1475</v>
      </c>
      <c r="F88" s="23">
        <v>71</v>
      </c>
      <c r="G88" s="23">
        <v>17920</v>
      </c>
      <c r="H88" s="24">
        <v>1475</v>
      </c>
      <c r="I88" s="24">
        <f>H88-$J$11</f>
        <v>170.69000000000005</v>
      </c>
      <c r="J88" s="23">
        <v>71</v>
      </c>
      <c r="K88" s="21"/>
    </row>
    <row r="89" spans="2:11" x14ac:dyDescent="0.25">
      <c r="B89" s="22" t="s">
        <v>333</v>
      </c>
      <c r="C89" s="23" t="s">
        <v>671</v>
      </c>
      <c r="D89" s="23">
        <v>5780</v>
      </c>
      <c r="E89" s="24">
        <v>1474.64</v>
      </c>
      <c r="F89" s="23">
        <v>72</v>
      </c>
      <c r="G89" s="23">
        <v>5780</v>
      </c>
      <c r="H89" s="25">
        <v>1474.64</v>
      </c>
      <c r="I89" s="24">
        <f>H89-$J$11</f>
        <v>170.33000000000015</v>
      </c>
      <c r="J89" s="23">
        <v>72</v>
      </c>
      <c r="K89" s="21"/>
    </row>
    <row r="90" spans="2:11" x14ac:dyDescent="0.25">
      <c r="B90" s="22" t="s">
        <v>687</v>
      </c>
      <c r="C90" s="23" t="s">
        <v>688</v>
      </c>
      <c r="D90" s="23">
        <v>1227</v>
      </c>
      <c r="E90" s="24">
        <v>1473.04</v>
      </c>
      <c r="F90" s="23">
        <v>73</v>
      </c>
      <c r="G90" s="23">
        <v>1227</v>
      </c>
      <c r="H90" s="24">
        <v>1473.04</v>
      </c>
      <c r="I90" s="24">
        <f>H90-$J$11</f>
        <v>168.73000000000002</v>
      </c>
      <c r="J90" s="23">
        <v>73</v>
      </c>
      <c r="K90" s="21"/>
    </row>
    <row r="91" spans="2:11" x14ac:dyDescent="0.25">
      <c r="B91" s="22" t="s">
        <v>68</v>
      </c>
      <c r="C91" s="23" t="s">
        <v>399</v>
      </c>
      <c r="D91" s="23">
        <v>11707</v>
      </c>
      <c r="E91" s="24">
        <v>1472.08</v>
      </c>
      <c r="F91" s="23">
        <v>74</v>
      </c>
      <c r="G91" s="23">
        <v>11707</v>
      </c>
      <c r="H91" s="24">
        <v>1472.08</v>
      </c>
      <c r="I91" s="24">
        <f>H91-$J$11</f>
        <v>167.76999999999998</v>
      </c>
      <c r="J91" s="23">
        <v>74</v>
      </c>
      <c r="K91" s="21"/>
    </row>
    <row r="92" spans="2:11" x14ac:dyDescent="0.25">
      <c r="B92" s="22" t="s">
        <v>161</v>
      </c>
      <c r="C92" s="23" t="s">
        <v>494</v>
      </c>
      <c r="D92" s="23">
        <v>5766</v>
      </c>
      <c r="E92" s="24">
        <v>1469.74</v>
      </c>
      <c r="F92" s="23">
        <v>75</v>
      </c>
      <c r="G92" s="23">
        <v>5766</v>
      </c>
      <c r="H92" s="24">
        <v>1469.74</v>
      </c>
      <c r="I92" s="24">
        <f>H92-$J$11</f>
        <v>165.43000000000006</v>
      </c>
      <c r="J92" s="23">
        <v>75</v>
      </c>
      <c r="K92" s="21"/>
    </row>
    <row r="93" spans="2:11" x14ac:dyDescent="0.25">
      <c r="B93" s="22" t="s">
        <v>287</v>
      </c>
      <c r="C93" s="23" t="s">
        <v>624</v>
      </c>
      <c r="D93" s="23">
        <v>12220</v>
      </c>
      <c r="E93" s="24">
        <v>1469.72</v>
      </c>
      <c r="F93" s="23">
        <v>76</v>
      </c>
      <c r="G93" s="23">
        <v>12220</v>
      </c>
      <c r="H93" s="24">
        <v>1469.72</v>
      </c>
      <c r="I93" s="24">
        <f>H93-$J$11</f>
        <v>165.41000000000008</v>
      </c>
      <c r="J93" s="23">
        <v>76</v>
      </c>
      <c r="K93" s="21"/>
    </row>
    <row r="94" spans="2:11" x14ac:dyDescent="0.25">
      <c r="B94" s="22" t="s">
        <v>129</v>
      </c>
      <c r="C94" s="23" t="s">
        <v>461</v>
      </c>
      <c r="D94" s="23">
        <v>7816</v>
      </c>
      <c r="E94" s="24">
        <v>1460.63</v>
      </c>
      <c r="F94" s="23">
        <v>77</v>
      </c>
      <c r="G94" s="23">
        <v>7816</v>
      </c>
      <c r="H94" s="24">
        <v>1460.63</v>
      </c>
      <c r="I94" s="24">
        <f>H94-$J$11</f>
        <v>156.32000000000016</v>
      </c>
      <c r="J94" s="23">
        <v>77</v>
      </c>
      <c r="K94" s="21"/>
    </row>
    <row r="95" spans="2:11" x14ac:dyDescent="0.25">
      <c r="B95" s="22" t="s">
        <v>99</v>
      </c>
      <c r="C95" s="23" t="s">
        <v>431</v>
      </c>
      <c r="D95" s="23">
        <v>15452</v>
      </c>
      <c r="E95" s="24">
        <v>1459.44</v>
      </c>
      <c r="F95" s="23">
        <v>78</v>
      </c>
      <c r="G95" s="23">
        <v>15452</v>
      </c>
      <c r="H95" s="24">
        <v>1459.44</v>
      </c>
      <c r="I95" s="24">
        <f>H95-$J$11</f>
        <v>155.13000000000011</v>
      </c>
      <c r="J95" s="23">
        <v>78</v>
      </c>
      <c r="K95" s="21"/>
    </row>
    <row r="96" spans="2:11" x14ac:dyDescent="0.25">
      <c r="B96" s="22" t="s">
        <v>100</v>
      </c>
      <c r="C96" s="23" t="s">
        <v>432</v>
      </c>
      <c r="D96" s="23">
        <v>11448</v>
      </c>
      <c r="E96" s="24">
        <v>1458.9</v>
      </c>
      <c r="F96" s="23">
        <v>79</v>
      </c>
      <c r="G96" s="23">
        <v>11448</v>
      </c>
      <c r="H96" s="24">
        <v>1458.9</v>
      </c>
      <c r="I96" s="24">
        <f>H96-$J$11</f>
        <v>154.59000000000015</v>
      </c>
      <c r="J96" s="23">
        <v>79</v>
      </c>
      <c r="K96" s="21"/>
    </row>
    <row r="97" spans="2:11" x14ac:dyDescent="0.25">
      <c r="B97" s="22" t="s">
        <v>276</v>
      </c>
      <c r="C97" s="23" t="s">
        <v>613</v>
      </c>
      <c r="D97" s="23">
        <v>6633</v>
      </c>
      <c r="E97" s="24">
        <v>1458.35</v>
      </c>
      <c r="F97" s="23">
        <v>80</v>
      </c>
      <c r="G97" s="23">
        <v>6633</v>
      </c>
      <c r="H97" s="24">
        <v>1458.35</v>
      </c>
      <c r="I97" s="24">
        <f>H97-$J$11</f>
        <v>154.03999999999996</v>
      </c>
      <c r="J97" s="23">
        <v>80</v>
      </c>
      <c r="K97" s="21"/>
    </row>
    <row r="98" spans="2:11" x14ac:dyDescent="0.25">
      <c r="B98" s="22" t="s">
        <v>45</v>
      </c>
      <c r="C98" s="23" t="s">
        <v>374</v>
      </c>
      <c r="D98" s="23">
        <v>5850</v>
      </c>
      <c r="E98" s="24">
        <v>1457.56</v>
      </c>
      <c r="F98" s="23">
        <v>81</v>
      </c>
      <c r="G98" s="23">
        <v>5850</v>
      </c>
      <c r="H98" s="24">
        <v>1457.56</v>
      </c>
      <c r="I98" s="24">
        <f>H98-$J$11</f>
        <v>153.25</v>
      </c>
      <c r="J98" s="23">
        <v>81</v>
      </c>
      <c r="K98" s="21"/>
    </row>
    <row r="99" spans="2:11" x14ac:dyDescent="0.25">
      <c r="B99" s="22" t="s">
        <v>33</v>
      </c>
      <c r="C99" s="23" t="s">
        <v>362</v>
      </c>
      <c r="D99" s="23">
        <v>6689</v>
      </c>
      <c r="E99" s="24">
        <v>1457.28</v>
      </c>
      <c r="F99" s="23">
        <v>82</v>
      </c>
      <c r="G99" s="23">
        <v>6689</v>
      </c>
      <c r="H99" s="24">
        <v>1457.28</v>
      </c>
      <c r="I99" s="24">
        <f>H99-$J$11</f>
        <v>152.97000000000003</v>
      </c>
      <c r="J99" s="23">
        <v>82</v>
      </c>
      <c r="K99" s="21"/>
    </row>
    <row r="100" spans="2:11" x14ac:dyDescent="0.25">
      <c r="B100" s="22" t="s">
        <v>179</v>
      </c>
      <c r="C100" s="23" t="s">
        <v>513</v>
      </c>
      <c r="D100" s="23">
        <v>5450</v>
      </c>
      <c r="E100" s="24">
        <v>1457.17</v>
      </c>
      <c r="F100" s="23">
        <v>83</v>
      </c>
      <c r="G100" s="23">
        <v>5450</v>
      </c>
      <c r="H100" s="24">
        <v>1457.17</v>
      </c>
      <c r="I100" s="24">
        <f>H100-$J$11</f>
        <v>152.86000000000013</v>
      </c>
      <c r="J100" s="23">
        <v>83</v>
      </c>
      <c r="K100" s="21"/>
    </row>
    <row r="101" spans="2:11" x14ac:dyDescent="0.25">
      <c r="B101" s="22" t="s">
        <v>275</v>
      </c>
      <c r="C101" s="23" t="s">
        <v>612</v>
      </c>
      <c r="D101" s="23">
        <v>1820</v>
      </c>
      <c r="E101" s="24">
        <v>1457.03</v>
      </c>
      <c r="F101" s="23">
        <v>84</v>
      </c>
      <c r="G101" s="23">
        <v>1820</v>
      </c>
      <c r="H101" s="24">
        <v>1457.03</v>
      </c>
      <c r="I101" s="24">
        <f>H101-$J$11</f>
        <v>152.72000000000003</v>
      </c>
      <c r="J101" s="23">
        <v>84</v>
      </c>
      <c r="K101" s="21"/>
    </row>
    <row r="102" spans="2:11" x14ac:dyDescent="0.25">
      <c r="B102" s="22" t="s">
        <v>279</v>
      </c>
      <c r="C102" s="23" t="s">
        <v>616</v>
      </c>
      <c r="D102" s="23">
        <v>14342</v>
      </c>
      <c r="E102" s="24">
        <v>1454.92</v>
      </c>
      <c r="F102" s="23">
        <v>85</v>
      </c>
      <c r="G102" s="23">
        <v>14342</v>
      </c>
      <c r="H102" s="24">
        <v>1454.92</v>
      </c>
      <c r="I102" s="24">
        <f>H102-$J$11</f>
        <v>150.61000000000013</v>
      </c>
      <c r="J102" s="23">
        <v>85</v>
      </c>
      <c r="K102" s="21"/>
    </row>
    <row r="103" spans="2:11" x14ac:dyDescent="0.25">
      <c r="B103" s="22" t="s">
        <v>336</v>
      </c>
      <c r="C103" s="23" t="s">
        <v>674</v>
      </c>
      <c r="D103" s="23">
        <v>7880</v>
      </c>
      <c r="E103" s="24">
        <v>1453.67</v>
      </c>
      <c r="F103" s="23">
        <v>86</v>
      </c>
      <c r="G103" s="23">
        <v>7880</v>
      </c>
      <c r="H103" s="25">
        <v>1453.67</v>
      </c>
      <c r="I103" s="24">
        <f>H103-$J$11</f>
        <v>149.36000000000013</v>
      </c>
      <c r="J103" s="23">
        <v>86</v>
      </c>
      <c r="K103" s="21"/>
    </row>
    <row r="104" spans="2:11" x14ac:dyDescent="0.25">
      <c r="B104" s="22" t="s">
        <v>168</v>
      </c>
      <c r="C104" s="23" t="s">
        <v>501</v>
      </c>
      <c r="D104" s="23">
        <v>4130</v>
      </c>
      <c r="E104" s="24">
        <v>1453.41</v>
      </c>
      <c r="F104" s="23">
        <v>87</v>
      </c>
      <c r="G104" s="23">
        <v>4130</v>
      </c>
      <c r="H104" s="25">
        <v>1453.41</v>
      </c>
      <c r="I104" s="24">
        <f>H104-$J$11</f>
        <v>149.10000000000014</v>
      </c>
      <c r="J104" s="23">
        <v>87</v>
      </c>
      <c r="K104" s="21"/>
    </row>
    <row r="105" spans="2:11" x14ac:dyDescent="0.25">
      <c r="B105" s="22" t="s">
        <v>335</v>
      </c>
      <c r="C105" s="23" t="s">
        <v>673</v>
      </c>
      <c r="D105" s="23">
        <v>5168</v>
      </c>
      <c r="E105" s="24">
        <v>1450.78</v>
      </c>
      <c r="F105" s="23">
        <v>88</v>
      </c>
      <c r="G105" s="23">
        <v>5168</v>
      </c>
      <c r="H105" s="25">
        <v>1450.78</v>
      </c>
      <c r="I105" s="24">
        <f>H105-$J$11</f>
        <v>146.47000000000003</v>
      </c>
      <c r="J105" s="23">
        <v>88</v>
      </c>
      <c r="K105" s="21"/>
    </row>
    <row r="106" spans="2:11" x14ac:dyDescent="0.25">
      <c r="B106" s="22" t="s">
        <v>293</v>
      </c>
      <c r="C106" s="23" t="s">
        <v>631</v>
      </c>
      <c r="D106" s="23">
        <v>6650</v>
      </c>
      <c r="E106" s="24">
        <v>1448.59</v>
      </c>
      <c r="F106" s="23">
        <v>89</v>
      </c>
      <c r="G106" s="23">
        <v>6650</v>
      </c>
      <c r="H106" s="24">
        <v>1448.59</v>
      </c>
      <c r="I106" s="24">
        <f>H106-$J$11</f>
        <v>144.27999999999997</v>
      </c>
      <c r="J106" s="23">
        <v>89</v>
      </c>
      <c r="K106" s="21"/>
    </row>
    <row r="107" spans="2:11" x14ac:dyDescent="0.25">
      <c r="B107" s="22" t="s">
        <v>38</v>
      </c>
      <c r="C107" s="23" t="s">
        <v>367</v>
      </c>
      <c r="D107" s="23">
        <v>3050</v>
      </c>
      <c r="E107" s="24">
        <v>1446.85</v>
      </c>
      <c r="F107" s="23">
        <v>90</v>
      </c>
      <c r="G107" s="23">
        <v>3050</v>
      </c>
      <c r="H107" s="24">
        <v>1446.85</v>
      </c>
      <c r="I107" s="24">
        <f>H107-$J$11</f>
        <v>142.53999999999996</v>
      </c>
      <c r="J107" s="23">
        <v>90</v>
      </c>
      <c r="K107" s="21"/>
    </row>
    <row r="108" spans="2:11" x14ac:dyDescent="0.25">
      <c r="B108" s="22" t="s">
        <v>295</v>
      </c>
      <c r="C108" s="23" t="s">
        <v>633</v>
      </c>
      <c r="D108" s="23">
        <v>10460</v>
      </c>
      <c r="E108" s="24">
        <v>1446.15</v>
      </c>
      <c r="F108" s="23">
        <v>91</v>
      </c>
      <c r="G108" s="23">
        <v>10460</v>
      </c>
      <c r="H108" s="24">
        <v>1446.15</v>
      </c>
      <c r="I108" s="24">
        <f>H108-$J$11</f>
        <v>141.84000000000015</v>
      </c>
      <c r="J108" s="23">
        <v>91</v>
      </c>
      <c r="K108" s="21"/>
    </row>
    <row r="109" spans="2:11" x14ac:dyDescent="0.25">
      <c r="B109" s="22" t="s">
        <v>283</v>
      </c>
      <c r="C109" s="23" t="s">
        <v>620</v>
      </c>
      <c r="D109" s="23">
        <v>6733</v>
      </c>
      <c r="E109" s="24">
        <v>1445.98</v>
      </c>
      <c r="F109" s="23">
        <v>92</v>
      </c>
      <c r="G109" s="23">
        <v>6733</v>
      </c>
      <c r="H109" s="24">
        <v>1445.98</v>
      </c>
      <c r="I109" s="24">
        <f>H109-$J$11</f>
        <v>141.67000000000007</v>
      </c>
      <c r="J109" s="23">
        <v>92</v>
      </c>
      <c r="K109" s="21"/>
    </row>
    <row r="110" spans="2:11" x14ac:dyDescent="0.25">
      <c r="B110" s="22" t="s">
        <v>323</v>
      </c>
      <c r="C110" s="23" t="s">
        <v>661</v>
      </c>
      <c r="D110" s="23">
        <v>6340</v>
      </c>
      <c r="E110" s="24">
        <v>1442.4</v>
      </c>
      <c r="F110" s="23">
        <v>93</v>
      </c>
      <c r="G110" s="23">
        <v>6340</v>
      </c>
      <c r="H110" s="25">
        <v>1442.4</v>
      </c>
      <c r="I110" s="24">
        <f>H110-$J$11</f>
        <v>138.09000000000015</v>
      </c>
      <c r="J110" s="23">
        <v>93</v>
      </c>
      <c r="K110" s="21"/>
    </row>
    <row r="111" spans="2:11" x14ac:dyDescent="0.25">
      <c r="B111" s="22" t="s">
        <v>217</v>
      </c>
      <c r="C111" s="23" t="s">
        <v>551</v>
      </c>
      <c r="D111" s="23">
        <v>4864</v>
      </c>
      <c r="E111" s="24">
        <v>1440.6</v>
      </c>
      <c r="F111" s="23">
        <v>94</v>
      </c>
      <c r="G111" s="23">
        <v>4864</v>
      </c>
      <c r="H111" s="24">
        <v>1440.6</v>
      </c>
      <c r="I111" s="24">
        <f>H111-$J$11</f>
        <v>136.28999999999996</v>
      </c>
      <c r="J111" s="23">
        <v>94</v>
      </c>
      <c r="K111" s="21"/>
    </row>
    <row r="112" spans="2:11" x14ac:dyDescent="0.25">
      <c r="B112" s="22" t="s">
        <v>208</v>
      </c>
      <c r="C112" s="23" t="s">
        <v>542</v>
      </c>
      <c r="D112" s="23">
        <v>10600</v>
      </c>
      <c r="E112" s="24">
        <v>1438.34</v>
      </c>
      <c r="F112" s="23">
        <v>95</v>
      </c>
      <c r="G112" s="23">
        <v>10600</v>
      </c>
      <c r="H112" s="24">
        <v>1438.34</v>
      </c>
      <c r="I112" s="24">
        <f>H112-$J$11</f>
        <v>134.02999999999997</v>
      </c>
      <c r="J112" s="23">
        <v>95</v>
      </c>
      <c r="K112" s="21"/>
    </row>
    <row r="113" spans="2:11" x14ac:dyDescent="0.25">
      <c r="B113" s="22" t="s">
        <v>94</v>
      </c>
      <c r="C113" s="23" t="s">
        <v>426</v>
      </c>
      <c r="D113" s="23">
        <v>3640</v>
      </c>
      <c r="E113" s="24">
        <v>1436.18</v>
      </c>
      <c r="F113" s="23">
        <v>96</v>
      </c>
      <c r="G113" s="23">
        <v>3640</v>
      </c>
      <c r="H113" s="24">
        <v>1436.18</v>
      </c>
      <c r="I113" s="24">
        <f>H113-$J$11</f>
        <v>131.87000000000012</v>
      </c>
      <c r="J113" s="23">
        <v>96</v>
      </c>
      <c r="K113" s="21"/>
    </row>
    <row r="114" spans="2:11" x14ac:dyDescent="0.25">
      <c r="B114" s="22" t="s">
        <v>91</v>
      </c>
      <c r="C114" s="23" t="s">
        <v>423</v>
      </c>
      <c r="D114" s="23">
        <v>9373</v>
      </c>
      <c r="E114" s="24">
        <v>1435.82</v>
      </c>
      <c r="F114" s="23">
        <v>97</v>
      </c>
      <c r="G114" s="23">
        <v>9373</v>
      </c>
      <c r="H114" s="24">
        <v>1435.82</v>
      </c>
      <c r="I114" s="24">
        <f>H114-$J$11</f>
        <v>131.51</v>
      </c>
      <c r="J114" s="23">
        <v>97</v>
      </c>
      <c r="K114" s="21"/>
    </row>
    <row r="115" spans="2:11" x14ac:dyDescent="0.25">
      <c r="B115" s="22" t="s">
        <v>143</v>
      </c>
      <c r="C115" s="23" t="s">
        <v>476</v>
      </c>
      <c r="D115" s="23">
        <v>13046</v>
      </c>
      <c r="E115" s="24">
        <v>1433.85</v>
      </c>
      <c r="F115" s="23">
        <v>98</v>
      </c>
      <c r="G115" s="23">
        <v>13046</v>
      </c>
      <c r="H115" s="24">
        <v>1433.85</v>
      </c>
      <c r="I115" s="24">
        <f>H115-$J$11</f>
        <v>129.53999999999996</v>
      </c>
      <c r="J115" s="23">
        <v>98</v>
      </c>
      <c r="K115" s="21"/>
    </row>
    <row r="116" spans="2:11" x14ac:dyDescent="0.25">
      <c r="B116" s="22" t="s">
        <v>53</v>
      </c>
      <c r="C116" s="23" t="s">
        <v>383</v>
      </c>
      <c r="D116" s="23">
        <v>4790</v>
      </c>
      <c r="E116" s="24">
        <v>1433.8</v>
      </c>
      <c r="F116" s="23">
        <v>99</v>
      </c>
      <c r="G116" s="23">
        <v>4790</v>
      </c>
      <c r="H116" s="24">
        <v>1433.8</v>
      </c>
      <c r="I116" s="24">
        <f>H116-$J$11</f>
        <v>129.49</v>
      </c>
      <c r="J116" s="23">
        <v>99</v>
      </c>
      <c r="K116" s="21"/>
    </row>
    <row r="117" spans="2:11" x14ac:dyDescent="0.25">
      <c r="B117" s="22" t="s">
        <v>97</v>
      </c>
      <c r="C117" s="23" t="s">
        <v>429</v>
      </c>
      <c r="D117" s="23">
        <v>6912</v>
      </c>
      <c r="E117" s="24">
        <v>1433.59</v>
      </c>
      <c r="F117" s="23">
        <v>100</v>
      </c>
      <c r="G117" s="23">
        <v>6912</v>
      </c>
      <c r="H117" s="24">
        <v>1433.59</v>
      </c>
      <c r="I117" s="24">
        <f>H117-$J$11</f>
        <v>129.27999999999997</v>
      </c>
      <c r="J117" s="23">
        <v>100</v>
      </c>
      <c r="K117" s="21"/>
    </row>
    <row r="118" spans="2:11" x14ac:dyDescent="0.25">
      <c r="B118" s="22" t="s">
        <v>251</v>
      </c>
      <c r="C118" s="23" t="s">
        <v>588</v>
      </c>
      <c r="D118" s="23">
        <v>21877</v>
      </c>
      <c r="E118" s="24">
        <v>1429.77</v>
      </c>
      <c r="F118" s="23">
        <v>101</v>
      </c>
      <c r="G118" s="23">
        <v>21877</v>
      </c>
      <c r="H118" s="24">
        <v>1429.77</v>
      </c>
      <c r="I118" s="24">
        <f>H118-$J$11</f>
        <v>125.46000000000004</v>
      </c>
      <c r="J118" s="23">
        <v>101</v>
      </c>
      <c r="K118" s="21"/>
    </row>
    <row r="119" spans="2:11" x14ac:dyDescent="0.25">
      <c r="B119" s="22" t="s">
        <v>118</v>
      </c>
      <c r="C119" s="23" t="s">
        <v>450</v>
      </c>
      <c r="D119" s="23">
        <v>19576</v>
      </c>
      <c r="E119" s="24">
        <v>1428.19</v>
      </c>
      <c r="F119" s="23">
        <v>102</v>
      </c>
      <c r="G119" s="23">
        <v>19576</v>
      </c>
      <c r="H119" s="24">
        <v>1428.19</v>
      </c>
      <c r="I119" s="24">
        <f>H119-$J$11</f>
        <v>123.88000000000011</v>
      </c>
      <c r="J119" s="23">
        <v>102</v>
      </c>
      <c r="K119" s="21"/>
    </row>
    <row r="120" spans="2:11" x14ac:dyDescent="0.25">
      <c r="B120" s="22" t="s">
        <v>200</v>
      </c>
      <c r="C120" s="23" t="s">
        <v>534</v>
      </c>
      <c r="D120" s="23">
        <v>7138</v>
      </c>
      <c r="E120" s="24">
        <v>1428.19</v>
      </c>
      <c r="F120" s="23">
        <v>102</v>
      </c>
      <c r="G120" s="23">
        <v>7138</v>
      </c>
      <c r="H120" s="24">
        <v>1428.19</v>
      </c>
      <c r="I120" s="24">
        <f>H120-$J$11</f>
        <v>123.88000000000011</v>
      </c>
      <c r="J120" s="23">
        <v>102</v>
      </c>
      <c r="K120" s="21"/>
    </row>
    <row r="121" spans="2:11" x14ac:dyDescent="0.25">
      <c r="B121" s="22" t="s">
        <v>112</v>
      </c>
      <c r="C121" s="23" t="s">
        <v>444</v>
      </c>
      <c r="D121" s="23">
        <v>8102</v>
      </c>
      <c r="E121" s="24">
        <v>1428.02</v>
      </c>
      <c r="F121" s="23">
        <v>104</v>
      </c>
      <c r="G121" s="23">
        <v>8102</v>
      </c>
      <c r="H121" s="24">
        <v>1428.02</v>
      </c>
      <c r="I121" s="24">
        <f>H121-$J$11</f>
        <v>123.71000000000004</v>
      </c>
      <c r="J121" s="23">
        <v>104</v>
      </c>
      <c r="K121" s="21"/>
    </row>
    <row r="122" spans="2:11" x14ac:dyDescent="0.25">
      <c r="B122" s="22" t="s">
        <v>264</v>
      </c>
      <c r="C122" s="23" t="s">
        <v>601</v>
      </c>
      <c r="D122" s="23">
        <v>5622</v>
      </c>
      <c r="E122" s="24">
        <v>1427.02</v>
      </c>
      <c r="F122" s="23">
        <v>105</v>
      </c>
      <c r="G122" s="23">
        <v>5622</v>
      </c>
      <c r="H122" s="24">
        <v>1427.02</v>
      </c>
      <c r="I122" s="24">
        <f>H122-$J$11</f>
        <v>122.71000000000004</v>
      </c>
      <c r="J122" s="23">
        <v>105</v>
      </c>
      <c r="K122" s="21"/>
    </row>
    <row r="123" spans="2:11" x14ac:dyDescent="0.25">
      <c r="B123" s="22" t="s">
        <v>51</v>
      </c>
      <c r="C123" s="23" t="s">
        <v>380</v>
      </c>
      <c r="D123" s="23">
        <v>52845</v>
      </c>
      <c r="E123" s="24">
        <v>1424.58</v>
      </c>
      <c r="F123" s="23">
        <v>106</v>
      </c>
      <c r="G123" s="23">
        <v>52845</v>
      </c>
      <c r="H123" s="24">
        <v>1424.58</v>
      </c>
      <c r="I123" s="24">
        <f>H123-$J$11</f>
        <v>120.26999999999998</v>
      </c>
      <c r="J123" s="23">
        <v>106</v>
      </c>
      <c r="K123" s="21"/>
    </row>
    <row r="124" spans="2:11" x14ac:dyDescent="0.25">
      <c r="B124" s="22" t="s">
        <v>199</v>
      </c>
      <c r="C124" s="23" t="s">
        <v>533</v>
      </c>
      <c r="D124" s="23">
        <v>4048</v>
      </c>
      <c r="E124" s="24">
        <v>1424.15</v>
      </c>
      <c r="F124" s="23">
        <v>107</v>
      </c>
      <c r="G124" s="23">
        <v>4048</v>
      </c>
      <c r="H124" s="24">
        <v>1424.15</v>
      </c>
      <c r="I124" s="24">
        <f>H124-$J$11</f>
        <v>119.84000000000015</v>
      </c>
      <c r="J124" s="23">
        <v>107</v>
      </c>
      <c r="K124" s="21"/>
    </row>
    <row r="125" spans="2:11" x14ac:dyDescent="0.25">
      <c r="B125" s="22" t="s">
        <v>189</v>
      </c>
      <c r="C125" s="23" t="s">
        <v>523</v>
      </c>
      <c r="D125" s="23">
        <v>6985</v>
      </c>
      <c r="E125" s="24">
        <v>1421.55</v>
      </c>
      <c r="F125" s="23">
        <v>108</v>
      </c>
      <c r="G125" s="23">
        <v>6985</v>
      </c>
      <c r="H125" s="24">
        <v>1421.55</v>
      </c>
      <c r="I125" s="24">
        <f>H125-$J$11</f>
        <v>117.24000000000001</v>
      </c>
      <c r="J125" s="23">
        <v>108</v>
      </c>
      <c r="K125" s="21"/>
    </row>
    <row r="126" spans="2:11" x14ac:dyDescent="0.25">
      <c r="B126" s="22" t="s">
        <v>198</v>
      </c>
      <c r="C126" s="23" t="s">
        <v>532</v>
      </c>
      <c r="D126" s="23">
        <v>10462</v>
      </c>
      <c r="E126" s="24">
        <v>1419.74</v>
      </c>
      <c r="F126" s="23">
        <v>109</v>
      </c>
      <c r="G126" s="23">
        <v>10462</v>
      </c>
      <c r="H126" s="24">
        <v>1419.74</v>
      </c>
      <c r="I126" s="24">
        <f>H126-$J$11</f>
        <v>115.43000000000006</v>
      </c>
      <c r="J126" s="23">
        <v>109</v>
      </c>
      <c r="K126" s="21"/>
    </row>
    <row r="127" spans="2:11" x14ac:dyDescent="0.25">
      <c r="B127" s="22" t="s">
        <v>209</v>
      </c>
      <c r="C127" s="23" t="s">
        <v>543</v>
      </c>
      <c r="D127" s="23">
        <v>12387</v>
      </c>
      <c r="E127" s="24">
        <v>1416.75</v>
      </c>
      <c r="F127" s="23">
        <v>110</v>
      </c>
      <c r="G127" s="23">
        <v>12387</v>
      </c>
      <c r="H127" s="25">
        <v>1416.75</v>
      </c>
      <c r="I127" s="24">
        <f>H127-$J$11</f>
        <v>112.44000000000005</v>
      </c>
      <c r="J127" s="23">
        <v>110</v>
      </c>
      <c r="K127" s="21"/>
    </row>
    <row r="128" spans="2:11" x14ac:dyDescent="0.25">
      <c r="B128" s="22" t="s">
        <v>258</v>
      </c>
      <c r="C128" s="23" t="s">
        <v>595</v>
      </c>
      <c r="D128" s="23">
        <v>4218</v>
      </c>
      <c r="E128" s="24">
        <v>1415.55</v>
      </c>
      <c r="F128" s="23">
        <v>111</v>
      </c>
      <c r="G128" s="23">
        <v>4218</v>
      </c>
      <c r="H128" s="24">
        <v>1415.55</v>
      </c>
      <c r="I128" s="24">
        <f>H128-$J$11</f>
        <v>111.24000000000001</v>
      </c>
      <c r="J128" s="23">
        <v>111</v>
      </c>
      <c r="K128" s="21"/>
    </row>
    <row r="129" spans="2:11" x14ac:dyDescent="0.25">
      <c r="B129" s="22" t="s">
        <v>239</v>
      </c>
      <c r="C129" s="23" t="s">
        <v>575</v>
      </c>
      <c r="D129" s="23">
        <v>5247</v>
      </c>
      <c r="E129" s="24">
        <v>1415.32</v>
      </c>
      <c r="F129" s="23">
        <v>112</v>
      </c>
      <c r="G129" s="23">
        <v>5247</v>
      </c>
      <c r="H129" s="24">
        <v>1415.32</v>
      </c>
      <c r="I129" s="24">
        <f>H129-$J$11</f>
        <v>111.00999999999999</v>
      </c>
      <c r="J129" s="23">
        <v>112</v>
      </c>
      <c r="K129" s="21"/>
    </row>
    <row r="130" spans="2:11" x14ac:dyDescent="0.25">
      <c r="B130" s="22" t="s">
        <v>308</v>
      </c>
      <c r="C130" s="23" t="s">
        <v>646</v>
      </c>
      <c r="D130" s="23">
        <v>5170</v>
      </c>
      <c r="E130" s="24">
        <v>1414.04</v>
      </c>
      <c r="F130" s="23">
        <v>113</v>
      </c>
      <c r="G130" s="23">
        <v>5170</v>
      </c>
      <c r="H130" s="25">
        <v>1414.04</v>
      </c>
      <c r="I130" s="24">
        <f>H130-$J$11</f>
        <v>109.73000000000002</v>
      </c>
      <c r="J130" s="23">
        <v>113</v>
      </c>
      <c r="K130" s="21"/>
    </row>
    <row r="131" spans="2:11" x14ac:dyDescent="0.25">
      <c r="B131" s="22" t="s">
        <v>81</v>
      </c>
      <c r="C131" s="23" t="s">
        <v>412</v>
      </c>
      <c r="D131" s="23">
        <v>11838</v>
      </c>
      <c r="E131" s="24">
        <v>1413.34</v>
      </c>
      <c r="F131" s="23">
        <v>114</v>
      </c>
      <c r="G131" s="23">
        <v>11838</v>
      </c>
      <c r="H131" s="24">
        <v>1413.34</v>
      </c>
      <c r="I131" s="24">
        <f>H131-$J$11</f>
        <v>109.02999999999997</v>
      </c>
      <c r="J131" s="23">
        <v>114</v>
      </c>
      <c r="K131" s="21"/>
    </row>
    <row r="132" spans="2:11" x14ac:dyDescent="0.25">
      <c r="B132" s="22" t="s">
        <v>319</v>
      </c>
      <c r="C132" s="23" t="s">
        <v>657</v>
      </c>
      <c r="D132" s="23">
        <v>7577</v>
      </c>
      <c r="E132" s="24">
        <v>1410.96</v>
      </c>
      <c r="F132" s="23">
        <v>115</v>
      </c>
      <c r="G132" s="23">
        <v>7577</v>
      </c>
      <c r="H132" s="25">
        <v>1410.96</v>
      </c>
      <c r="I132" s="24">
        <f>H132-$J$11</f>
        <v>106.65000000000009</v>
      </c>
      <c r="J132" s="23">
        <v>115</v>
      </c>
      <c r="K132" s="21"/>
    </row>
    <row r="133" spans="2:11" x14ac:dyDescent="0.25">
      <c r="B133" s="22" t="s">
        <v>121</v>
      </c>
      <c r="C133" s="23" t="s">
        <v>453</v>
      </c>
      <c r="D133" s="23">
        <v>15774</v>
      </c>
      <c r="E133" s="24">
        <v>1409.49</v>
      </c>
      <c r="F133" s="23">
        <v>116</v>
      </c>
      <c r="G133" s="23">
        <v>15774</v>
      </c>
      <c r="H133" s="24">
        <v>1409.49</v>
      </c>
      <c r="I133" s="24">
        <f>H133-$J$11</f>
        <v>105.18000000000006</v>
      </c>
      <c r="J133" s="23">
        <v>116</v>
      </c>
      <c r="K133" s="21"/>
    </row>
    <row r="134" spans="2:11" x14ac:dyDescent="0.25">
      <c r="B134" s="22" t="s">
        <v>55</v>
      </c>
      <c r="C134" s="23" t="s">
        <v>385</v>
      </c>
      <c r="D134" s="23">
        <v>9202</v>
      </c>
      <c r="E134" s="24">
        <v>1408.81</v>
      </c>
      <c r="F134" s="23">
        <v>117</v>
      </c>
      <c r="G134" s="23">
        <v>9202</v>
      </c>
      <c r="H134" s="24">
        <v>1408.81</v>
      </c>
      <c r="I134" s="24">
        <f>H134-$J$11</f>
        <v>104.5</v>
      </c>
      <c r="J134" s="23">
        <v>117</v>
      </c>
      <c r="K134" s="21"/>
    </row>
    <row r="135" spans="2:11" x14ac:dyDescent="0.25">
      <c r="B135" s="22" t="s">
        <v>250</v>
      </c>
      <c r="C135" s="23" t="s">
        <v>587</v>
      </c>
      <c r="D135" s="23">
        <v>20930</v>
      </c>
      <c r="E135" s="24">
        <v>1406.02</v>
      </c>
      <c r="F135" s="23">
        <v>118</v>
      </c>
      <c r="G135" s="23">
        <v>20930</v>
      </c>
      <c r="H135" s="24">
        <v>1406.02</v>
      </c>
      <c r="I135" s="24">
        <f>H135-$J$11</f>
        <v>101.71000000000004</v>
      </c>
      <c r="J135" s="23">
        <v>118</v>
      </c>
      <c r="K135" s="21"/>
    </row>
    <row r="136" spans="2:11" x14ac:dyDescent="0.25">
      <c r="B136" s="22" t="s">
        <v>153</v>
      </c>
      <c r="C136" s="23" t="s">
        <v>486</v>
      </c>
      <c r="D136" s="23">
        <v>4958</v>
      </c>
      <c r="E136" s="24">
        <v>1403.14</v>
      </c>
      <c r="F136" s="23">
        <v>119</v>
      </c>
      <c r="G136" s="23">
        <v>4958</v>
      </c>
      <c r="H136" s="24">
        <v>1403.14</v>
      </c>
      <c r="I136" s="24">
        <f>H136-$J$11</f>
        <v>98.830000000000155</v>
      </c>
      <c r="J136" s="23">
        <v>119</v>
      </c>
      <c r="K136" s="21"/>
    </row>
    <row r="137" spans="2:11" x14ac:dyDescent="0.25">
      <c r="B137" s="22" t="s">
        <v>21</v>
      </c>
      <c r="C137" s="23" t="s">
        <v>349</v>
      </c>
      <c r="D137" s="23">
        <v>11705</v>
      </c>
      <c r="E137" s="24">
        <v>1399.47</v>
      </c>
      <c r="F137" s="23">
        <v>120</v>
      </c>
      <c r="G137" s="23">
        <v>11705</v>
      </c>
      <c r="H137" s="24">
        <v>1399.47</v>
      </c>
      <c r="I137" s="24">
        <f>H137-$J$11</f>
        <v>95.160000000000082</v>
      </c>
      <c r="J137" s="23">
        <v>120</v>
      </c>
      <c r="K137" s="21"/>
    </row>
    <row r="138" spans="2:11" x14ac:dyDescent="0.25">
      <c r="B138" s="22" t="s">
        <v>255</v>
      </c>
      <c r="C138" s="23" t="s">
        <v>592</v>
      </c>
      <c r="D138" s="23">
        <v>5358</v>
      </c>
      <c r="E138" s="24">
        <v>1398.75</v>
      </c>
      <c r="F138" s="23">
        <v>121</v>
      </c>
      <c r="G138" s="23">
        <v>5358</v>
      </c>
      <c r="H138" s="24">
        <v>1398.75</v>
      </c>
      <c r="I138" s="24">
        <f>H138-$J$11</f>
        <v>94.440000000000055</v>
      </c>
      <c r="J138" s="23">
        <v>121</v>
      </c>
      <c r="K138" s="21"/>
    </row>
    <row r="139" spans="2:11" x14ac:dyDescent="0.25">
      <c r="B139" s="22" t="s">
        <v>32</v>
      </c>
      <c r="C139" s="23" t="s">
        <v>361</v>
      </c>
      <c r="D139" s="23">
        <v>2630</v>
      </c>
      <c r="E139" s="24">
        <v>1397.98</v>
      </c>
      <c r="F139" s="23">
        <v>122</v>
      </c>
      <c r="G139" s="23">
        <v>2630</v>
      </c>
      <c r="H139" s="24">
        <v>1397.98</v>
      </c>
      <c r="I139" s="24">
        <f>H139-$J$11</f>
        <v>93.670000000000073</v>
      </c>
      <c r="J139" s="23">
        <v>122</v>
      </c>
      <c r="K139" s="21"/>
    </row>
    <row r="140" spans="2:11" x14ac:dyDescent="0.25">
      <c r="B140" s="22" t="s">
        <v>169</v>
      </c>
      <c r="C140" s="23" t="s">
        <v>502</v>
      </c>
      <c r="D140" s="23">
        <v>14556</v>
      </c>
      <c r="E140" s="24">
        <v>1393.91</v>
      </c>
      <c r="F140" s="23">
        <v>123</v>
      </c>
      <c r="G140" s="23">
        <v>14556</v>
      </c>
      <c r="H140" s="24">
        <v>1393.91</v>
      </c>
      <c r="I140" s="24">
        <f>H140-$J$11</f>
        <v>89.600000000000136</v>
      </c>
      <c r="J140" s="23">
        <v>123</v>
      </c>
      <c r="K140" s="21"/>
    </row>
    <row r="141" spans="2:11" x14ac:dyDescent="0.25">
      <c r="B141" s="22" t="s">
        <v>311</v>
      </c>
      <c r="C141" s="23" t="s">
        <v>649</v>
      </c>
      <c r="D141" s="23">
        <v>4412</v>
      </c>
      <c r="E141" s="24">
        <v>1391.4</v>
      </c>
      <c r="F141" s="23">
        <v>124</v>
      </c>
      <c r="G141" s="23">
        <v>4412</v>
      </c>
      <c r="H141" s="25">
        <v>1391.4</v>
      </c>
      <c r="I141" s="24">
        <f>H141-$J$11</f>
        <v>87.090000000000146</v>
      </c>
      <c r="J141" s="23">
        <v>124</v>
      </c>
      <c r="K141" s="21"/>
    </row>
    <row r="142" spans="2:11" x14ac:dyDescent="0.25">
      <c r="B142" s="22" t="s">
        <v>301</v>
      </c>
      <c r="C142" s="23" t="s">
        <v>639</v>
      </c>
      <c r="D142" s="23">
        <v>8514</v>
      </c>
      <c r="E142" s="24">
        <v>1390.72</v>
      </c>
      <c r="F142" s="23">
        <v>125</v>
      </c>
      <c r="G142" s="23">
        <v>8514</v>
      </c>
      <c r="H142" s="24">
        <v>1390.72</v>
      </c>
      <c r="I142" s="24">
        <f>H142-$J$11</f>
        <v>86.410000000000082</v>
      </c>
      <c r="J142" s="23">
        <v>125</v>
      </c>
      <c r="K142" s="21"/>
    </row>
    <row r="143" spans="2:11" x14ac:dyDescent="0.25">
      <c r="B143" s="22" t="s">
        <v>312</v>
      </c>
      <c r="C143" s="23" t="s">
        <v>650</v>
      </c>
      <c r="D143" s="23">
        <v>13971</v>
      </c>
      <c r="E143" s="24">
        <v>1389.72</v>
      </c>
      <c r="F143" s="23">
        <v>126</v>
      </c>
      <c r="G143" s="23">
        <v>13971</v>
      </c>
      <c r="H143" s="25">
        <v>1389.72</v>
      </c>
      <c r="I143" s="24">
        <f>H143-$J$11</f>
        <v>85.410000000000082</v>
      </c>
      <c r="J143" s="23">
        <v>126</v>
      </c>
      <c r="K143" s="21"/>
    </row>
    <row r="144" spans="2:11" x14ac:dyDescent="0.25">
      <c r="B144" s="22" t="s">
        <v>285</v>
      </c>
      <c r="C144" s="23" t="s">
        <v>622</v>
      </c>
      <c r="D144" s="23">
        <v>4685</v>
      </c>
      <c r="E144" s="24">
        <v>1389.63</v>
      </c>
      <c r="F144" s="23">
        <v>127</v>
      </c>
      <c r="G144" s="23">
        <v>4685</v>
      </c>
      <c r="H144" s="24">
        <v>1389.63</v>
      </c>
      <c r="I144" s="24">
        <f>H144-$J$11</f>
        <v>85.320000000000164</v>
      </c>
      <c r="J144" s="23">
        <v>127</v>
      </c>
      <c r="K144" s="21"/>
    </row>
    <row r="145" spans="2:11" x14ac:dyDescent="0.25">
      <c r="B145" s="22" t="s">
        <v>77</v>
      </c>
      <c r="C145" s="23" t="s">
        <v>408</v>
      </c>
      <c r="D145" s="23">
        <v>5850</v>
      </c>
      <c r="E145" s="24">
        <v>1386.29</v>
      </c>
      <c r="F145" s="23">
        <v>128</v>
      </c>
      <c r="G145" s="23">
        <v>5850</v>
      </c>
      <c r="H145" s="24">
        <v>1386.29</v>
      </c>
      <c r="I145" s="24">
        <f>H145-$J$11</f>
        <v>81.980000000000018</v>
      </c>
      <c r="J145" s="23">
        <v>128</v>
      </c>
      <c r="K145" s="21"/>
    </row>
    <row r="146" spans="2:11" x14ac:dyDescent="0.25">
      <c r="B146" s="22" t="s">
        <v>265</v>
      </c>
      <c r="C146" s="23" t="s">
        <v>602</v>
      </c>
      <c r="D146" s="23">
        <v>9958</v>
      </c>
      <c r="E146" s="24">
        <v>1384.08</v>
      </c>
      <c r="F146" s="23">
        <v>129</v>
      </c>
      <c r="G146" s="23">
        <v>9958</v>
      </c>
      <c r="H146" s="24">
        <v>1384.08</v>
      </c>
      <c r="I146" s="24">
        <f>H146-$J$11</f>
        <v>79.769999999999982</v>
      </c>
      <c r="J146" s="23">
        <v>129</v>
      </c>
      <c r="K146" s="21"/>
    </row>
    <row r="147" spans="2:11" x14ac:dyDescent="0.25">
      <c r="B147" s="22" t="s">
        <v>188</v>
      </c>
      <c r="C147" s="23" t="s">
        <v>522</v>
      </c>
      <c r="D147" s="23">
        <v>6121</v>
      </c>
      <c r="E147" s="24">
        <v>1383.04</v>
      </c>
      <c r="F147" s="23">
        <v>130</v>
      </c>
      <c r="G147" s="23">
        <v>6121</v>
      </c>
      <c r="H147" s="24">
        <v>1383.04</v>
      </c>
      <c r="I147" s="24">
        <f>H147-$J$11</f>
        <v>78.730000000000018</v>
      </c>
      <c r="J147" s="23">
        <v>130</v>
      </c>
      <c r="K147" s="21"/>
    </row>
    <row r="148" spans="2:11" x14ac:dyDescent="0.25">
      <c r="B148" s="22" t="s">
        <v>310</v>
      </c>
      <c r="C148" s="23" t="s">
        <v>648</v>
      </c>
      <c r="D148" s="23">
        <v>9808</v>
      </c>
      <c r="E148" s="24">
        <v>1378.54</v>
      </c>
      <c r="F148" s="23">
        <v>131</v>
      </c>
      <c r="G148" s="23">
        <v>9808</v>
      </c>
      <c r="H148" s="25">
        <v>1378.54</v>
      </c>
      <c r="I148" s="24">
        <f>H148-$J$11</f>
        <v>74.230000000000018</v>
      </c>
      <c r="J148" s="23">
        <v>131</v>
      </c>
      <c r="K148" s="21"/>
    </row>
    <row r="149" spans="2:11" x14ac:dyDescent="0.25">
      <c r="B149" s="22" t="s">
        <v>58</v>
      </c>
      <c r="C149" s="23" t="s">
        <v>389</v>
      </c>
      <c r="D149" s="23">
        <v>12406</v>
      </c>
      <c r="E149" s="24">
        <v>1377.95</v>
      </c>
      <c r="F149" s="23">
        <v>132</v>
      </c>
      <c r="G149" s="23">
        <v>12406</v>
      </c>
      <c r="H149" s="24">
        <v>1377.95</v>
      </c>
      <c r="I149" s="24">
        <f>H149-$J$11</f>
        <v>73.6400000000001</v>
      </c>
      <c r="J149" s="23">
        <v>132</v>
      </c>
      <c r="K149" s="21"/>
    </row>
    <row r="150" spans="2:11" x14ac:dyDescent="0.25">
      <c r="B150" s="22" t="s">
        <v>214</v>
      </c>
      <c r="C150" s="23" t="s">
        <v>548</v>
      </c>
      <c r="D150" s="23">
        <v>4784</v>
      </c>
      <c r="E150" s="24">
        <v>1377.5</v>
      </c>
      <c r="F150" s="23">
        <v>133</v>
      </c>
      <c r="G150" s="23">
        <v>4784</v>
      </c>
      <c r="H150" s="24">
        <v>1377.5</v>
      </c>
      <c r="I150" s="24">
        <f>H150-$J$11</f>
        <v>73.190000000000055</v>
      </c>
      <c r="J150" s="23">
        <v>133</v>
      </c>
      <c r="K150" s="21"/>
    </row>
    <row r="151" spans="2:11" x14ac:dyDescent="0.25">
      <c r="B151" s="22" t="s">
        <v>36</v>
      </c>
      <c r="C151" s="23" t="s">
        <v>365</v>
      </c>
      <c r="D151" s="23">
        <v>8024</v>
      </c>
      <c r="E151" s="24">
        <v>1376.98</v>
      </c>
      <c r="F151" s="23">
        <v>134</v>
      </c>
      <c r="G151" s="23">
        <v>8024</v>
      </c>
      <c r="H151" s="24">
        <v>1376.98</v>
      </c>
      <c r="I151" s="24">
        <f>H151-$J$11</f>
        <v>72.670000000000073</v>
      </c>
      <c r="J151" s="23">
        <v>134</v>
      </c>
      <c r="K151" s="21"/>
    </row>
    <row r="152" spans="2:11" x14ac:dyDescent="0.25">
      <c r="B152" s="22" t="s">
        <v>27</v>
      </c>
      <c r="C152" s="23" t="s">
        <v>355</v>
      </c>
      <c r="D152" s="23">
        <v>13445</v>
      </c>
      <c r="E152" s="24">
        <v>1376.8</v>
      </c>
      <c r="F152" s="23">
        <v>135</v>
      </c>
      <c r="G152" s="23">
        <v>13445</v>
      </c>
      <c r="H152" s="24">
        <v>1376.8</v>
      </c>
      <c r="I152" s="24">
        <f>H152-$J$11</f>
        <v>72.490000000000009</v>
      </c>
      <c r="J152" s="23">
        <v>135</v>
      </c>
      <c r="K152" s="21"/>
    </row>
    <row r="153" spans="2:11" x14ac:dyDescent="0.25">
      <c r="B153" s="22" t="s">
        <v>159</v>
      </c>
      <c r="C153" s="23" t="s">
        <v>492</v>
      </c>
      <c r="D153" s="23">
        <v>4780</v>
      </c>
      <c r="E153" s="24">
        <v>1375.77</v>
      </c>
      <c r="F153" s="23">
        <v>136</v>
      </c>
      <c r="G153" s="23">
        <v>4780</v>
      </c>
      <c r="H153" s="24">
        <v>1375.77</v>
      </c>
      <c r="I153" s="24">
        <f>H153-$J$11</f>
        <v>71.460000000000036</v>
      </c>
      <c r="J153" s="23">
        <v>136</v>
      </c>
      <c r="K153" s="21"/>
    </row>
    <row r="154" spans="2:11" x14ac:dyDescent="0.25">
      <c r="B154" s="22" t="s">
        <v>136</v>
      </c>
      <c r="C154" s="23" t="s">
        <v>468</v>
      </c>
      <c r="D154" s="23">
        <v>12128</v>
      </c>
      <c r="E154" s="24">
        <v>1375.47</v>
      </c>
      <c r="F154" s="23">
        <v>137</v>
      </c>
      <c r="G154" s="23">
        <v>12128</v>
      </c>
      <c r="H154" s="24">
        <v>1375.47</v>
      </c>
      <c r="I154" s="24">
        <f>H154-$J$11</f>
        <v>71.160000000000082</v>
      </c>
      <c r="J154" s="23">
        <v>137</v>
      </c>
      <c r="K154" s="21"/>
    </row>
    <row r="155" spans="2:11" x14ac:dyDescent="0.25">
      <c r="B155" s="22" t="s">
        <v>238</v>
      </c>
      <c r="C155" s="23" t="s">
        <v>574</v>
      </c>
      <c r="D155" s="23">
        <v>13790</v>
      </c>
      <c r="E155" s="24">
        <v>1374.37</v>
      </c>
      <c r="F155" s="23">
        <v>138</v>
      </c>
      <c r="G155" s="23">
        <v>13790</v>
      </c>
      <c r="H155" s="25">
        <v>1374.37</v>
      </c>
      <c r="I155" s="24">
        <f>H155-$J$11</f>
        <v>70.059999999999945</v>
      </c>
      <c r="J155" s="23">
        <v>138</v>
      </c>
      <c r="K155" s="21"/>
    </row>
    <row r="156" spans="2:11" x14ac:dyDescent="0.25">
      <c r="B156" s="22" t="s">
        <v>119</v>
      </c>
      <c r="C156" s="23" t="s">
        <v>451</v>
      </c>
      <c r="D156" s="23">
        <v>13154</v>
      </c>
      <c r="E156" s="24">
        <v>1372.13</v>
      </c>
      <c r="F156" s="23">
        <v>139</v>
      </c>
      <c r="G156" s="23">
        <v>13154</v>
      </c>
      <c r="H156" s="24">
        <v>1372.13</v>
      </c>
      <c r="I156" s="24">
        <f>H156-$J$11</f>
        <v>67.820000000000164</v>
      </c>
      <c r="J156" s="23">
        <v>139</v>
      </c>
      <c r="K156" s="21"/>
    </row>
    <row r="157" spans="2:11" x14ac:dyDescent="0.25">
      <c r="B157" s="22" t="s">
        <v>60</v>
      </c>
      <c r="C157" s="23" t="s">
        <v>391</v>
      </c>
      <c r="D157" s="23">
        <v>6007</v>
      </c>
      <c r="E157" s="24">
        <v>1368.71</v>
      </c>
      <c r="F157" s="23">
        <v>140</v>
      </c>
      <c r="G157" s="23">
        <v>6007</v>
      </c>
      <c r="H157" s="25">
        <v>1368.71</v>
      </c>
      <c r="I157" s="24">
        <f>H157-$J$11</f>
        <v>64.400000000000091</v>
      </c>
      <c r="J157" s="23">
        <v>140</v>
      </c>
      <c r="K157" s="21"/>
    </row>
    <row r="158" spans="2:11" x14ac:dyDescent="0.25">
      <c r="B158" s="22" t="s">
        <v>234</v>
      </c>
      <c r="C158" s="23" t="s">
        <v>570</v>
      </c>
      <c r="D158" s="23">
        <v>10611</v>
      </c>
      <c r="E158" s="24">
        <v>1367.17</v>
      </c>
      <c r="F158" s="23">
        <v>141</v>
      </c>
      <c r="G158" s="23">
        <v>10611</v>
      </c>
      <c r="H158" s="24">
        <v>1367.17</v>
      </c>
      <c r="I158" s="24">
        <f>H158-$J$11</f>
        <v>62.860000000000127</v>
      </c>
      <c r="J158" s="23">
        <v>141</v>
      </c>
      <c r="K158" s="21"/>
    </row>
    <row r="159" spans="2:11" x14ac:dyDescent="0.25">
      <c r="B159" s="22" t="s">
        <v>330</v>
      </c>
      <c r="C159" s="23" t="s">
        <v>668</v>
      </c>
      <c r="D159" s="23">
        <v>27617</v>
      </c>
      <c r="E159" s="24">
        <v>1365.87</v>
      </c>
      <c r="F159" s="23">
        <v>142</v>
      </c>
      <c r="G159" s="23">
        <v>27617</v>
      </c>
      <c r="H159" s="25">
        <v>1365.87</v>
      </c>
      <c r="I159" s="24">
        <f>H159-$J$11</f>
        <v>61.559999999999945</v>
      </c>
      <c r="J159" s="23">
        <v>142</v>
      </c>
      <c r="K159" s="21"/>
    </row>
    <row r="160" spans="2:11" x14ac:dyDescent="0.25">
      <c r="B160" s="22" t="s">
        <v>80</v>
      </c>
      <c r="C160" s="23" t="s">
        <v>411</v>
      </c>
      <c r="D160" s="23">
        <v>6243</v>
      </c>
      <c r="E160" s="24">
        <v>1363.44</v>
      </c>
      <c r="F160" s="23">
        <v>143</v>
      </c>
      <c r="G160" s="23">
        <v>6243</v>
      </c>
      <c r="H160" s="24">
        <v>1363.44</v>
      </c>
      <c r="I160" s="24">
        <f>H160-$J$11</f>
        <v>59.130000000000109</v>
      </c>
      <c r="J160" s="23">
        <v>143</v>
      </c>
      <c r="K160" s="21"/>
    </row>
    <row r="161" spans="2:11" x14ac:dyDescent="0.25">
      <c r="B161" s="22" t="s">
        <v>67</v>
      </c>
      <c r="C161" s="23" t="s">
        <v>398</v>
      </c>
      <c r="D161" s="23">
        <v>10206</v>
      </c>
      <c r="E161" s="24">
        <v>1363.32</v>
      </c>
      <c r="F161" s="23">
        <v>144</v>
      </c>
      <c r="G161" s="23">
        <v>10206</v>
      </c>
      <c r="H161" s="24">
        <v>1363.32</v>
      </c>
      <c r="I161" s="24">
        <f>H161-$J$11</f>
        <v>59.009999999999991</v>
      </c>
      <c r="J161" s="23">
        <v>144</v>
      </c>
      <c r="K161" s="21"/>
    </row>
    <row r="162" spans="2:11" x14ac:dyDescent="0.25">
      <c r="B162" s="22" t="s">
        <v>331</v>
      </c>
      <c r="C162" s="23" t="s">
        <v>669</v>
      </c>
      <c r="D162" s="23">
        <v>5180</v>
      </c>
      <c r="E162" s="24">
        <v>1362.32</v>
      </c>
      <c r="F162" s="23">
        <v>145</v>
      </c>
      <c r="G162" s="23">
        <v>5180</v>
      </c>
      <c r="H162" s="25">
        <v>1362.32</v>
      </c>
      <c r="I162" s="24">
        <f>H162-$J$11</f>
        <v>58.009999999999991</v>
      </c>
      <c r="J162" s="23">
        <v>145</v>
      </c>
      <c r="K162" s="21"/>
    </row>
    <row r="163" spans="2:11" x14ac:dyDescent="0.25">
      <c r="B163" s="22" t="s">
        <v>197</v>
      </c>
      <c r="C163" s="23" t="s">
        <v>531</v>
      </c>
      <c r="D163" s="23">
        <v>7018</v>
      </c>
      <c r="E163" s="24">
        <v>1361.21</v>
      </c>
      <c r="F163" s="23">
        <v>146</v>
      </c>
      <c r="G163" s="23">
        <v>7018</v>
      </c>
      <c r="H163" s="24">
        <v>1361.21</v>
      </c>
      <c r="I163" s="24">
        <f>H163-$J$11</f>
        <v>56.900000000000091</v>
      </c>
      <c r="J163" s="23">
        <v>146</v>
      </c>
      <c r="K163" s="21"/>
    </row>
    <row r="164" spans="2:11" x14ac:dyDescent="0.25">
      <c r="B164" s="22" t="s">
        <v>233</v>
      </c>
      <c r="C164" s="23" t="s">
        <v>569</v>
      </c>
      <c r="D164" s="23">
        <v>18053</v>
      </c>
      <c r="E164" s="24">
        <v>1356.42</v>
      </c>
      <c r="F164" s="23">
        <v>147</v>
      </c>
      <c r="G164" s="23">
        <v>18053</v>
      </c>
      <c r="H164" s="25">
        <v>1356.42</v>
      </c>
      <c r="I164" s="24">
        <f>H164-$J$11</f>
        <v>52.110000000000127</v>
      </c>
      <c r="J164" s="23">
        <v>147</v>
      </c>
      <c r="K164" s="21"/>
    </row>
    <row r="165" spans="2:11" x14ac:dyDescent="0.25">
      <c r="B165" s="22" t="s">
        <v>84</v>
      </c>
      <c r="C165" s="23" t="s">
        <v>416</v>
      </c>
      <c r="D165" s="23">
        <v>4908</v>
      </c>
      <c r="E165" s="24">
        <v>1355.68</v>
      </c>
      <c r="F165" s="23">
        <v>148</v>
      </c>
      <c r="G165" s="23">
        <v>4908</v>
      </c>
      <c r="H165" s="24">
        <v>1355.68</v>
      </c>
      <c r="I165" s="24">
        <f>H165-$J$11</f>
        <v>51.370000000000118</v>
      </c>
      <c r="J165" s="23">
        <v>148</v>
      </c>
      <c r="K165" s="21"/>
    </row>
    <row r="166" spans="2:11" x14ac:dyDescent="0.25">
      <c r="B166" s="22" t="s">
        <v>70</v>
      </c>
      <c r="C166" s="23" t="s">
        <v>401</v>
      </c>
      <c r="D166" s="23">
        <v>6292</v>
      </c>
      <c r="E166" s="24">
        <v>1354.67</v>
      </c>
      <c r="F166" s="23">
        <v>149</v>
      </c>
      <c r="G166" s="23">
        <v>6292</v>
      </c>
      <c r="H166" s="24">
        <v>1354.67</v>
      </c>
      <c r="I166" s="24">
        <f>H166-$J$11</f>
        <v>50.360000000000127</v>
      </c>
      <c r="J166" s="23">
        <v>149</v>
      </c>
      <c r="K166" s="21"/>
    </row>
    <row r="167" spans="2:11" x14ac:dyDescent="0.25">
      <c r="B167" s="22" t="s">
        <v>242</v>
      </c>
      <c r="C167" s="23" t="s">
        <v>578</v>
      </c>
      <c r="D167" s="23">
        <v>8148</v>
      </c>
      <c r="E167" s="24">
        <v>1349.89</v>
      </c>
      <c r="F167" s="23">
        <v>150</v>
      </c>
      <c r="G167" s="23">
        <v>8148</v>
      </c>
      <c r="H167" s="24">
        <v>1349.89</v>
      </c>
      <c r="I167" s="24">
        <f>H167-$J$11</f>
        <v>45.580000000000155</v>
      </c>
      <c r="J167" s="23">
        <v>150</v>
      </c>
      <c r="K167" s="21"/>
    </row>
    <row r="168" spans="2:11" x14ac:dyDescent="0.25">
      <c r="B168" s="22" t="s">
        <v>117</v>
      </c>
      <c r="C168" s="23" t="s">
        <v>449</v>
      </c>
      <c r="D168" s="23">
        <v>23418</v>
      </c>
      <c r="E168" s="24">
        <v>1349.03</v>
      </c>
      <c r="F168" s="23">
        <v>151</v>
      </c>
      <c r="G168" s="23">
        <v>23418</v>
      </c>
      <c r="H168" s="24">
        <v>1349.03</v>
      </c>
      <c r="I168" s="24">
        <f>H168-$J$11</f>
        <v>44.720000000000027</v>
      </c>
      <c r="J168" s="23">
        <v>151</v>
      </c>
      <c r="K168" s="21"/>
    </row>
    <row r="169" spans="2:11" x14ac:dyDescent="0.25">
      <c r="B169" s="22" t="s">
        <v>298</v>
      </c>
      <c r="C169" s="23" t="s">
        <v>636</v>
      </c>
      <c r="D169" s="23">
        <v>11630</v>
      </c>
      <c r="E169" s="24">
        <v>1347.91</v>
      </c>
      <c r="F169" s="23">
        <v>152</v>
      </c>
      <c r="G169" s="23">
        <v>11630</v>
      </c>
      <c r="H169" s="24">
        <v>1347.91</v>
      </c>
      <c r="I169" s="24">
        <f>H169-$J$11</f>
        <v>43.600000000000136</v>
      </c>
      <c r="J169" s="23">
        <v>152</v>
      </c>
      <c r="K169" s="21"/>
    </row>
    <row r="170" spans="2:11" x14ac:dyDescent="0.25">
      <c r="B170" s="22" t="s">
        <v>30</v>
      </c>
      <c r="C170" s="23" t="s">
        <v>359</v>
      </c>
      <c r="D170" s="23">
        <v>26898</v>
      </c>
      <c r="E170" s="24">
        <v>1347.78</v>
      </c>
      <c r="F170" s="23">
        <v>153</v>
      </c>
      <c r="G170" s="23">
        <v>26898</v>
      </c>
      <c r="H170" s="25">
        <v>1347.78</v>
      </c>
      <c r="I170" s="24">
        <f>H170-$J$11</f>
        <v>43.470000000000027</v>
      </c>
      <c r="J170" s="23">
        <v>153</v>
      </c>
      <c r="K170" s="21"/>
    </row>
    <row r="171" spans="2:11" x14ac:dyDescent="0.25">
      <c r="B171" s="22" t="s">
        <v>164</v>
      </c>
      <c r="C171" s="23" t="s">
        <v>497</v>
      </c>
      <c r="D171" s="23">
        <v>8718</v>
      </c>
      <c r="E171" s="24">
        <v>1347.69</v>
      </c>
      <c r="F171" s="23">
        <v>154</v>
      </c>
      <c r="G171" s="23">
        <v>8718</v>
      </c>
      <c r="H171" s="24">
        <v>1347.69</v>
      </c>
      <c r="I171" s="24">
        <f>H171-$J$11</f>
        <v>43.380000000000109</v>
      </c>
      <c r="J171" s="23">
        <v>154</v>
      </c>
      <c r="K171" s="21"/>
    </row>
    <row r="172" spans="2:11" x14ac:dyDescent="0.25">
      <c r="B172" s="22" t="s">
        <v>284</v>
      </c>
      <c r="C172" s="23" t="s">
        <v>621</v>
      </c>
      <c r="D172" s="23">
        <v>6858</v>
      </c>
      <c r="E172" s="24">
        <v>1347.61</v>
      </c>
      <c r="F172" s="23">
        <v>155</v>
      </c>
      <c r="G172" s="23">
        <v>6858</v>
      </c>
      <c r="H172" s="24">
        <v>1347.61</v>
      </c>
      <c r="I172" s="24">
        <f>H172-$J$11</f>
        <v>43.299999999999955</v>
      </c>
      <c r="J172" s="23">
        <v>155</v>
      </c>
      <c r="K172" s="21"/>
    </row>
    <row r="173" spans="2:11" x14ac:dyDescent="0.25">
      <c r="B173" s="22" t="s">
        <v>64</v>
      </c>
      <c r="C173" s="23" t="s">
        <v>395</v>
      </c>
      <c r="D173" s="23">
        <v>8823</v>
      </c>
      <c r="E173" s="24">
        <v>1345.11</v>
      </c>
      <c r="F173" s="23">
        <v>156</v>
      </c>
      <c r="G173" s="23">
        <v>8823</v>
      </c>
      <c r="H173" s="24">
        <v>1345.11</v>
      </c>
      <c r="I173" s="24">
        <f>H173-$J$11</f>
        <v>40.799999999999955</v>
      </c>
      <c r="J173" s="23">
        <v>156</v>
      </c>
      <c r="K173" s="21"/>
    </row>
    <row r="174" spans="2:11" x14ac:dyDescent="0.25">
      <c r="B174" s="22" t="s">
        <v>107</v>
      </c>
      <c r="C174" s="23" t="s">
        <v>439</v>
      </c>
      <c r="D174" s="23">
        <v>6565</v>
      </c>
      <c r="E174" s="24">
        <v>1343.11</v>
      </c>
      <c r="F174" s="23">
        <v>157</v>
      </c>
      <c r="G174" s="23">
        <v>6565</v>
      </c>
      <c r="H174" s="24">
        <v>1343.11</v>
      </c>
      <c r="I174" s="24">
        <f>H174-$J$11</f>
        <v>38.799999999999955</v>
      </c>
      <c r="J174" s="23">
        <v>157</v>
      </c>
      <c r="K174" s="21"/>
    </row>
    <row r="175" spans="2:11" x14ac:dyDescent="0.25">
      <c r="B175" s="22" t="s">
        <v>683</v>
      </c>
      <c r="C175" s="23" t="s">
        <v>684</v>
      </c>
      <c r="D175" s="23">
        <v>2880</v>
      </c>
      <c r="E175" s="24">
        <v>1342.01</v>
      </c>
      <c r="F175" s="23">
        <v>158</v>
      </c>
      <c r="G175" s="23">
        <v>2880</v>
      </c>
      <c r="H175" s="24">
        <v>1342.01</v>
      </c>
      <c r="I175" s="24">
        <f>H175-$J$11</f>
        <v>37.700000000000045</v>
      </c>
      <c r="J175" s="23">
        <v>158</v>
      </c>
      <c r="K175" s="21"/>
    </row>
    <row r="176" spans="2:11" x14ac:dyDescent="0.25">
      <c r="B176" s="22" t="s">
        <v>191</v>
      </c>
      <c r="C176" s="23" t="s">
        <v>525</v>
      </c>
      <c r="D176" s="23">
        <v>9126</v>
      </c>
      <c r="E176" s="24">
        <v>1339.94</v>
      </c>
      <c r="F176" s="23">
        <v>159</v>
      </c>
      <c r="G176" s="23">
        <v>9126</v>
      </c>
      <c r="H176" s="25">
        <v>1339.94</v>
      </c>
      <c r="I176" s="24">
        <f>H176-$J$11</f>
        <v>35.630000000000109</v>
      </c>
      <c r="J176" s="23">
        <v>159</v>
      </c>
      <c r="K176" s="21"/>
    </row>
    <row r="177" spans="2:11" x14ac:dyDescent="0.25">
      <c r="B177" s="22" t="s">
        <v>246</v>
      </c>
      <c r="C177" s="23" t="s">
        <v>582</v>
      </c>
      <c r="D177" s="23">
        <v>8757</v>
      </c>
      <c r="E177" s="24">
        <v>1335.48</v>
      </c>
      <c r="F177" s="23">
        <v>160</v>
      </c>
      <c r="G177" s="23">
        <v>8757</v>
      </c>
      <c r="H177" s="24">
        <v>1335.48</v>
      </c>
      <c r="I177" s="24">
        <f>H177-$J$11</f>
        <v>31.170000000000073</v>
      </c>
      <c r="J177" s="23">
        <v>160</v>
      </c>
      <c r="K177" s="21"/>
    </row>
    <row r="178" spans="2:11" x14ac:dyDescent="0.25">
      <c r="B178" s="22" t="s">
        <v>678</v>
      </c>
      <c r="C178" s="23" t="s">
        <v>679</v>
      </c>
      <c r="D178" s="23">
        <v>4138</v>
      </c>
      <c r="E178" s="24">
        <v>1326.06</v>
      </c>
      <c r="F178" s="23">
        <v>161</v>
      </c>
      <c r="G178" s="23">
        <v>4138</v>
      </c>
      <c r="H178" s="24">
        <v>1326.06</v>
      </c>
      <c r="I178" s="24">
        <f>H178-$J$11</f>
        <v>21.75</v>
      </c>
      <c r="J178" s="23">
        <v>161</v>
      </c>
      <c r="K178" s="21"/>
    </row>
    <row r="179" spans="2:11" x14ac:dyDescent="0.25">
      <c r="B179" s="22" t="s">
        <v>272</v>
      </c>
      <c r="C179" s="23" t="s">
        <v>609</v>
      </c>
      <c r="D179" s="23">
        <v>8787</v>
      </c>
      <c r="E179" s="24">
        <v>1325.71</v>
      </c>
      <c r="F179" s="23">
        <v>162</v>
      </c>
      <c r="G179" s="23">
        <v>8787</v>
      </c>
      <c r="H179" s="24">
        <v>1325.71</v>
      </c>
      <c r="I179" s="24">
        <f>H179-$J$11</f>
        <v>21.400000000000091</v>
      </c>
      <c r="J179" s="23">
        <v>162</v>
      </c>
      <c r="K179" s="21"/>
    </row>
    <row r="180" spans="2:11" x14ac:dyDescent="0.25">
      <c r="B180" s="22" t="s">
        <v>249</v>
      </c>
      <c r="C180" s="23" t="s">
        <v>586</v>
      </c>
      <c r="D180" s="23">
        <v>5843</v>
      </c>
      <c r="E180" s="24">
        <v>1325.52</v>
      </c>
      <c r="F180" s="23">
        <v>163</v>
      </c>
      <c r="G180" s="23">
        <v>5843</v>
      </c>
      <c r="H180" s="25">
        <v>1325.52</v>
      </c>
      <c r="I180" s="24">
        <f>H180-$J$11</f>
        <v>21.210000000000036</v>
      </c>
      <c r="J180" s="23">
        <v>163</v>
      </c>
      <c r="K180" s="21"/>
    </row>
    <row r="181" spans="2:11" x14ac:dyDescent="0.25">
      <c r="B181" s="22" t="s">
        <v>180</v>
      </c>
      <c r="C181" s="23" t="s">
        <v>514</v>
      </c>
      <c r="D181" s="23">
        <v>8275</v>
      </c>
      <c r="E181" s="24">
        <v>1325.4</v>
      </c>
      <c r="F181" s="23">
        <v>164</v>
      </c>
      <c r="G181" s="23">
        <v>8275</v>
      </c>
      <c r="H181" s="24">
        <v>1325.4</v>
      </c>
      <c r="I181" s="24">
        <f>H181-$J$11</f>
        <v>21.090000000000146</v>
      </c>
      <c r="J181" s="23">
        <v>164</v>
      </c>
      <c r="K181" s="21"/>
    </row>
    <row r="182" spans="2:11" x14ac:dyDescent="0.25">
      <c r="B182" s="22" t="s">
        <v>167</v>
      </c>
      <c r="C182" s="23" t="s">
        <v>500</v>
      </c>
      <c r="D182" s="23">
        <v>2230</v>
      </c>
      <c r="E182" s="24">
        <v>1325.29</v>
      </c>
      <c r="F182" s="23">
        <v>165</v>
      </c>
      <c r="G182" s="23">
        <v>2230</v>
      </c>
      <c r="H182" s="24">
        <v>1325.29</v>
      </c>
      <c r="I182" s="24">
        <f>H182-$J$11</f>
        <v>20.980000000000018</v>
      </c>
      <c r="J182" s="23">
        <v>165</v>
      </c>
      <c r="K182" s="21"/>
    </row>
    <row r="183" spans="2:11" x14ac:dyDescent="0.25">
      <c r="B183" s="22" t="s">
        <v>78</v>
      </c>
      <c r="C183" s="23" t="s">
        <v>409</v>
      </c>
      <c r="D183" s="23">
        <v>7717</v>
      </c>
      <c r="E183" s="24">
        <v>1324.25</v>
      </c>
      <c r="F183" s="23">
        <v>166</v>
      </c>
      <c r="G183" s="23">
        <v>7717</v>
      </c>
      <c r="H183" s="24">
        <v>1324.25</v>
      </c>
      <c r="I183" s="24">
        <f>H183-$J$11</f>
        <v>19.940000000000055</v>
      </c>
      <c r="J183" s="23">
        <v>166</v>
      </c>
      <c r="K183" s="21"/>
    </row>
    <row r="184" spans="2:11" x14ac:dyDescent="0.25">
      <c r="B184" s="22" t="s">
        <v>691</v>
      </c>
      <c r="C184" s="23" t="s">
        <v>692</v>
      </c>
      <c r="D184" s="23">
        <v>5938</v>
      </c>
      <c r="E184" s="24">
        <v>1324.11</v>
      </c>
      <c r="F184" s="23">
        <v>167</v>
      </c>
      <c r="G184" s="23">
        <v>5938</v>
      </c>
      <c r="H184" s="24">
        <v>1324.11</v>
      </c>
      <c r="I184" s="24">
        <f>H184-$J$11</f>
        <v>19.799999999999955</v>
      </c>
      <c r="J184" s="23">
        <v>167</v>
      </c>
      <c r="K184" s="21"/>
    </row>
    <row r="185" spans="2:11" x14ac:dyDescent="0.25">
      <c r="B185" s="22" t="s">
        <v>215</v>
      </c>
      <c r="C185" s="23" t="s">
        <v>549</v>
      </c>
      <c r="D185" s="23">
        <v>13027</v>
      </c>
      <c r="E185" s="24">
        <v>1321.49</v>
      </c>
      <c r="F185" s="23">
        <v>168</v>
      </c>
      <c r="G185" s="23">
        <v>13027</v>
      </c>
      <c r="H185" s="24">
        <v>1321.49</v>
      </c>
      <c r="I185" s="24">
        <f>H185-$J$11</f>
        <v>17.180000000000064</v>
      </c>
      <c r="J185" s="23">
        <v>168</v>
      </c>
      <c r="K185" s="21"/>
    </row>
    <row r="186" spans="2:11" x14ac:dyDescent="0.25">
      <c r="B186" s="22" t="s">
        <v>184</v>
      </c>
      <c r="C186" s="23" t="s">
        <v>518</v>
      </c>
      <c r="D186" s="23">
        <v>7304</v>
      </c>
      <c r="E186" s="24">
        <v>1316.71</v>
      </c>
      <c r="F186" s="23">
        <v>169</v>
      </c>
      <c r="G186" s="23">
        <v>7304</v>
      </c>
      <c r="H186" s="24">
        <v>1316.71</v>
      </c>
      <c r="I186" s="24">
        <f>H186-$J$11</f>
        <v>12.400000000000091</v>
      </c>
      <c r="J186" s="23">
        <v>169</v>
      </c>
      <c r="K186" s="21"/>
    </row>
    <row r="187" spans="2:11" x14ac:dyDescent="0.25">
      <c r="B187" s="22" t="s">
        <v>110</v>
      </c>
      <c r="C187" s="23" t="s">
        <v>442</v>
      </c>
      <c r="D187" s="23">
        <v>2970</v>
      </c>
      <c r="E187" s="24">
        <v>1316.06</v>
      </c>
      <c r="F187" s="23">
        <v>170</v>
      </c>
      <c r="G187" s="23">
        <v>2970</v>
      </c>
      <c r="H187" s="24">
        <v>1316.06</v>
      </c>
      <c r="I187" s="24">
        <f>H187-$J$11</f>
        <v>11.75</v>
      </c>
      <c r="J187" s="23">
        <v>170</v>
      </c>
      <c r="K187" s="21"/>
    </row>
    <row r="188" spans="2:11" x14ac:dyDescent="0.25">
      <c r="B188" s="22" t="s">
        <v>322</v>
      </c>
      <c r="C188" s="23" t="s">
        <v>660</v>
      </c>
      <c r="D188" s="23">
        <v>4710</v>
      </c>
      <c r="E188" s="24">
        <v>1315.99</v>
      </c>
      <c r="F188" s="23">
        <v>171</v>
      </c>
      <c r="G188" s="23">
        <v>4710</v>
      </c>
      <c r="H188" s="25">
        <v>1315.99</v>
      </c>
      <c r="I188" s="24">
        <f>H188-$J$11</f>
        <v>11.680000000000064</v>
      </c>
      <c r="J188" s="23">
        <v>171</v>
      </c>
      <c r="K188" s="21"/>
    </row>
    <row r="189" spans="2:11" x14ac:dyDescent="0.25">
      <c r="B189" s="22" t="s">
        <v>204</v>
      </c>
      <c r="C189" s="23" t="s">
        <v>538</v>
      </c>
      <c r="D189" s="23">
        <v>9030</v>
      </c>
      <c r="E189" s="24">
        <v>1313.72</v>
      </c>
      <c r="F189" s="23">
        <v>172</v>
      </c>
      <c r="G189" s="23">
        <v>9030</v>
      </c>
      <c r="H189" s="24">
        <v>1313.72</v>
      </c>
      <c r="I189" s="24">
        <f>H189-$J$11</f>
        <v>9.4100000000000819</v>
      </c>
      <c r="J189" s="23">
        <v>172</v>
      </c>
      <c r="K189" s="21"/>
    </row>
    <row r="190" spans="2:11" x14ac:dyDescent="0.25">
      <c r="B190" s="22" t="s">
        <v>225</v>
      </c>
      <c r="C190" s="23" t="s">
        <v>561</v>
      </c>
      <c r="D190" s="23">
        <v>7091</v>
      </c>
      <c r="E190" s="24">
        <v>1313.65</v>
      </c>
      <c r="F190" s="23">
        <v>173</v>
      </c>
      <c r="G190" s="23">
        <v>7091</v>
      </c>
      <c r="H190" s="24">
        <v>1313.65</v>
      </c>
      <c r="I190" s="24">
        <f>H190-$J$11</f>
        <v>9.3400000000001455</v>
      </c>
      <c r="J190" s="23">
        <v>173</v>
      </c>
      <c r="K190" s="21"/>
    </row>
    <row r="191" spans="2:11" x14ac:dyDescent="0.25">
      <c r="B191" s="22" t="s">
        <v>334</v>
      </c>
      <c r="C191" s="23" t="s">
        <v>672</v>
      </c>
      <c r="D191" s="23">
        <v>4070</v>
      </c>
      <c r="E191" s="24">
        <v>1313.22</v>
      </c>
      <c r="F191" s="23">
        <v>174</v>
      </c>
      <c r="G191" s="23">
        <v>4070</v>
      </c>
      <c r="H191" s="25">
        <v>1313.22</v>
      </c>
      <c r="I191" s="24">
        <f>H191-$J$11</f>
        <v>8.9100000000000819</v>
      </c>
      <c r="J191" s="23">
        <v>174</v>
      </c>
      <c r="K191" s="21"/>
    </row>
    <row r="192" spans="2:11" x14ac:dyDescent="0.25">
      <c r="B192" s="22" t="s">
        <v>86</v>
      </c>
      <c r="C192" s="23" t="s">
        <v>418</v>
      </c>
      <c r="D192" s="23">
        <v>6256</v>
      </c>
      <c r="E192" s="24">
        <v>1309.79</v>
      </c>
      <c r="F192" s="23">
        <v>175</v>
      </c>
      <c r="G192" s="23">
        <v>6256</v>
      </c>
      <c r="H192" s="24">
        <v>1309.79</v>
      </c>
      <c r="I192" s="24">
        <f>H192-$J$11</f>
        <v>5.4800000000000182</v>
      </c>
      <c r="J192" s="23">
        <v>175</v>
      </c>
      <c r="K192" s="21"/>
    </row>
    <row r="193" spans="2:11" x14ac:dyDescent="0.25">
      <c r="B193" s="22" t="s">
        <v>294</v>
      </c>
      <c r="C193" s="23" t="s">
        <v>632</v>
      </c>
      <c r="D193" s="23">
        <v>9725</v>
      </c>
      <c r="E193" s="24">
        <v>1309.26</v>
      </c>
      <c r="F193" s="23">
        <v>176</v>
      </c>
      <c r="G193" s="23">
        <v>9725</v>
      </c>
      <c r="H193" s="24">
        <v>1309.26</v>
      </c>
      <c r="I193" s="24">
        <f>H193-$J$11</f>
        <v>4.9500000000000455</v>
      </c>
      <c r="J193" s="23">
        <v>176</v>
      </c>
      <c r="K193" s="21"/>
    </row>
    <row r="194" spans="2:11" x14ac:dyDescent="0.25">
      <c r="B194" s="22" t="s">
        <v>93</v>
      </c>
      <c r="C194" s="23" t="s">
        <v>425</v>
      </c>
      <c r="D194" s="23">
        <v>13530</v>
      </c>
      <c r="E194" s="24">
        <v>1307.4000000000001</v>
      </c>
      <c r="F194" s="23">
        <v>177</v>
      </c>
      <c r="G194" s="23">
        <v>13530</v>
      </c>
      <c r="H194" s="24">
        <v>1307.4000000000001</v>
      </c>
      <c r="I194" s="24">
        <f>H194-$J$11</f>
        <v>3.0900000000001455</v>
      </c>
      <c r="J194" s="23">
        <v>177</v>
      </c>
      <c r="K194" s="21"/>
    </row>
    <row r="195" spans="2:11" x14ac:dyDescent="0.25">
      <c r="B195" s="22" t="s">
        <v>122</v>
      </c>
      <c r="C195" s="23" t="s">
        <v>454</v>
      </c>
      <c r="D195" s="23">
        <v>11258</v>
      </c>
      <c r="E195" s="24">
        <v>1305.8</v>
      </c>
      <c r="F195" s="23">
        <v>178</v>
      </c>
      <c r="G195" s="23">
        <v>11258</v>
      </c>
      <c r="H195" s="24">
        <v>1305.8</v>
      </c>
      <c r="I195" s="24">
        <f>H195-$J$11</f>
        <v>1.4900000000000091</v>
      </c>
      <c r="J195" s="23">
        <v>178</v>
      </c>
      <c r="K195" s="21"/>
    </row>
    <row r="196" spans="2:11" x14ac:dyDescent="0.25">
      <c r="B196" s="27" t="s">
        <v>73</v>
      </c>
      <c r="C196" s="28" t="s">
        <v>404</v>
      </c>
      <c r="D196" s="28">
        <v>6070</v>
      </c>
      <c r="E196" s="29">
        <v>1302.72</v>
      </c>
      <c r="F196" s="28">
        <v>179</v>
      </c>
      <c r="G196" s="28">
        <v>6070</v>
      </c>
      <c r="H196" s="29">
        <v>1302.72</v>
      </c>
      <c r="I196" s="29">
        <f>H196-$J$11</f>
        <v>-1.5899999999999181</v>
      </c>
      <c r="J196" s="28">
        <v>179</v>
      </c>
      <c r="K196" s="21"/>
    </row>
    <row r="197" spans="2:11" x14ac:dyDescent="0.25">
      <c r="B197" s="27" t="s">
        <v>88</v>
      </c>
      <c r="C197" s="28" t="s">
        <v>420</v>
      </c>
      <c r="D197" s="28">
        <v>13200</v>
      </c>
      <c r="E197" s="29">
        <v>1301.92</v>
      </c>
      <c r="F197" s="28">
        <v>180</v>
      </c>
      <c r="G197" s="28">
        <v>13200</v>
      </c>
      <c r="H197" s="29">
        <v>1301.92</v>
      </c>
      <c r="I197" s="29">
        <f>H197-$J$11</f>
        <v>-2.3899999999998727</v>
      </c>
      <c r="J197" s="28">
        <v>180</v>
      </c>
      <c r="K197" s="21"/>
    </row>
    <row r="198" spans="2:11" x14ac:dyDescent="0.25">
      <c r="B198" s="27" t="s">
        <v>103</v>
      </c>
      <c r="C198" s="28" t="s">
        <v>435</v>
      </c>
      <c r="D198" s="28">
        <v>5285</v>
      </c>
      <c r="E198" s="29">
        <v>1300.9000000000001</v>
      </c>
      <c r="F198" s="28">
        <v>181</v>
      </c>
      <c r="G198" s="28">
        <v>5285</v>
      </c>
      <c r="H198" s="30">
        <v>1300.9000000000001</v>
      </c>
      <c r="I198" s="29">
        <f>H198-$J$11</f>
        <v>-3.4099999999998545</v>
      </c>
      <c r="J198" s="28">
        <v>181</v>
      </c>
      <c r="K198" s="21"/>
    </row>
    <row r="199" spans="2:11" x14ac:dyDescent="0.25">
      <c r="B199" s="27" t="s">
        <v>337</v>
      </c>
      <c r="C199" s="28" t="s">
        <v>675</v>
      </c>
      <c r="D199" s="28">
        <v>9335</v>
      </c>
      <c r="E199" s="29">
        <v>1298.4100000000001</v>
      </c>
      <c r="F199" s="28">
        <v>182</v>
      </c>
      <c r="G199" s="28">
        <v>9335</v>
      </c>
      <c r="H199" s="30">
        <v>1298.4100000000001</v>
      </c>
      <c r="I199" s="29">
        <f>H199-$J$11</f>
        <v>-5.8999999999998636</v>
      </c>
      <c r="J199" s="28">
        <v>182</v>
      </c>
      <c r="K199" s="21"/>
    </row>
    <row r="200" spans="2:11" x14ac:dyDescent="0.25">
      <c r="B200" s="27" t="s">
        <v>160</v>
      </c>
      <c r="C200" s="28" t="s">
        <v>493</v>
      </c>
      <c r="D200" s="28">
        <v>15835</v>
      </c>
      <c r="E200" s="29">
        <v>1296.06</v>
      </c>
      <c r="F200" s="28">
        <v>183</v>
      </c>
      <c r="G200" s="28">
        <v>15835</v>
      </c>
      <c r="H200" s="29">
        <v>1296.06</v>
      </c>
      <c r="I200" s="29">
        <f>H200-$J$11</f>
        <v>-8.25</v>
      </c>
      <c r="J200" s="28">
        <v>183</v>
      </c>
      <c r="K200" s="21"/>
    </row>
    <row r="201" spans="2:11" x14ac:dyDescent="0.25">
      <c r="B201" s="27" t="s">
        <v>254</v>
      </c>
      <c r="C201" s="28" t="s">
        <v>591</v>
      </c>
      <c r="D201" s="28">
        <v>10200</v>
      </c>
      <c r="E201" s="29">
        <v>1294.73</v>
      </c>
      <c r="F201" s="28">
        <v>184</v>
      </c>
      <c r="G201" s="28">
        <v>10200</v>
      </c>
      <c r="H201" s="29">
        <v>1294.73</v>
      </c>
      <c r="I201" s="29">
        <f>H201-$J$11</f>
        <v>-9.5799999999999272</v>
      </c>
      <c r="J201" s="28">
        <v>184</v>
      </c>
      <c r="K201" s="21"/>
    </row>
    <row r="202" spans="2:11" x14ac:dyDescent="0.25">
      <c r="B202" s="27" t="s">
        <v>178</v>
      </c>
      <c r="C202" s="28" t="s">
        <v>512</v>
      </c>
      <c r="D202" s="28">
        <v>17377</v>
      </c>
      <c r="E202" s="29">
        <v>1292.07</v>
      </c>
      <c r="F202" s="28">
        <v>185</v>
      </c>
      <c r="G202" s="28">
        <v>17377</v>
      </c>
      <c r="H202" s="29">
        <v>1292.07</v>
      </c>
      <c r="I202" s="29">
        <f>H202-$J$11</f>
        <v>-12.240000000000009</v>
      </c>
      <c r="J202" s="28">
        <v>185</v>
      </c>
      <c r="K202" s="21"/>
    </row>
    <row r="203" spans="2:11" x14ac:dyDescent="0.25">
      <c r="B203" s="27" t="s">
        <v>66</v>
      </c>
      <c r="C203" s="28" t="s">
        <v>397</v>
      </c>
      <c r="D203" s="28">
        <v>6808</v>
      </c>
      <c r="E203" s="29">
        <v>1291.42</v>
      </c>
      <c r="F203" s="28">
        <v>186</v>
      </c>
      <c r="G203" s="28">
        <v>6808</v>
      </c>
      <c r="H203" s="29">
        <v>1291.42</v>
      </c>
      <c r="I203" s="29">
        <f>H203-$J$11</f>
        <v>-12.889999999999873</v>
      </c>
      <c r="J203" s="28">
        <v>186</v>
      </c>
      <c r="K203" s="21"/>
    </row>
    <row r="204" spans="2:11" x14ac:dyDescent="0.25">
      <c r="B204" s="27" t="s">
        <v>213</v>
      </c>
      <c r="C204" s="28" t="s">
        <v>547</v>
      </c>
      <c r="D204" s="28">
        <v>4710</v>
      </c>
      <c r="E204" s="29">
        <v>1285.52</v>
      </c>
      <c r="F204" s="28">
        <v>187</v>
      </c>
      <c r="G204" s="28">
        <v>4710</v>
      </c>
      <c r="H204" s="29">
        <v>1285.52</v>
      </c>
      <c r="I204" s="29">
        <f>H204-$J$11</f>
        <v>-18.789999999999964</v>
      </c>
      <c r="J204" s="28">
        <v>187</v>
      </c>
      <c r="K204" s="21"/>
    </row>
    <row r="205" spans="2:11" x14ac:dyDescent="0.25">
      <c r="B205" s="27" t="s">
        <v>48</v>
      </c>
      <c r="C205" s="28" t="s">
        <v>377</v>
      </c>
      <c r="D205" s="28">
        <v>7942</v>
      </c>
      <c r="E205" s="29">
        <v>1282.05</v>
      </c>
      <c r="F205" s="28">
        <v>188</v>
      </c>
      <c r="G205" s="28">
        <v>7942</v>
      </c>
      <c r="H205" s="30">
        <v>1282.05</v>
      </c>
      <c r="I205" s="29">
        <f>H205-$J$11</f>
        <v>-22.259999999999991</v>
      </c>
      <c r="J205" s="28">
        <v>188</v>
      </c>
      <c r="K205" s="21"/>
    </row>
    <row r="206" spans="2:11" x14ac:dyDescent="0.25">
      <c r="B206" s="27" t="s">
        <v>203</v>
      </c>
      <c r="C206" s="28" t="s">
        <v>537</v>
      </c>
      <c r="D206" s="28">
        <v>4160</v>
      </c>
      <c r="E206" s="29">
        <v>1277.4000000000001</v>
      </c>
      <c r="F206" s="28">
        <v>189</v>
      </c>
      <c r="G206" s="28">
        <v>4160</v>
      </c>
      <c r="H206" s="29">
        <v>1277.4000000000001</v>
      </c>
      <c r="I206" s="29">
        <f>H206-$J$11</f>
        <v>-26.909999999999854</v>
      </c>
      <c r="J206" s="28">
        <v>189</v>
      </c>
      <c r="K206" s="21"/>
    </row>
    <row r="207" spans="2:11" x14ac:dyDescent="0.25">
      <c r="B207" s="27" t="s">
        <v>132</v>
      </c>
      <c r="C207" s="28" t="s">
        <v>464</v>
      </c>
      <c r="D207" s="28">
        <v>8940</v>
      </c>
      <c r="E207" s="29">
        <v>1276.3</v>
      </c>
      <c r="F207" s="28">
        <v>190</v>
      </c>
      <c r="G207" s="28">
        <v>8940</v>
      </c>
      <c r="H207" s="29">
        <v>1276.3</v>
      </c>
      <c r="I207" s="29">
        <f>H207-$J$11</f>
        <v>-28.009999999999991</v>
      </c>
      <c r="J207" s="28">
        <v>190</v>
      </c>
      <c r="K207" s="21"/>
    </row>
    <row r="208" spans="2:11" x14ac:dyDescent="0.25">
      <c r="B208" s="27" t="s">
        <v>207</v>
      </c>
      <c r="C208" s="28" t="s">
        <v>541</v>
      </c>
      <c r="D208" s="28">
        <v>6640</v>
      </c>
      <c r="E208" s="29">
        <v>1273.52</v>
      </c>
      <c r="F208" s="28">
        <v>191</v>
      </c>
      <c r="G208" s="28">
        <v>6640</v>
      </c>
      <c r="H208" s="29">
        <v>1273.52</v>
      </c>
      <c r="I208" s="29">
        <f>H208-$J$11</f>
        <v>-30.789999999999964</v>
      </c>
      <c r="J208" s="28">
        <v>191</v>
      </c>
      <c r="K208" s="21"/>
    </row>
    <row r="209" spans="2:11" x14ac:dyDescent="0.25">
      <c r="B209" s="27" t="s">
        <v>145</v>
      </c>
      <c r="C209" s="28" t="s">
        <v>478</v>
      </c>
      <c r="D209" s="28">
        <v>10830</v>
      </c>
      <c r="E209" s="29">
        <v>1266.9000000000001</v>
      </c>
      <c r="F209" s="28">
        <v>192</v>
      </c>
      <c r="G209" s="28">
        <v>10830</v>
      </c>
      <c r="H209" s="29">
        <v>1266.9000000000001</v>
      </c>
      <c r="I209" s="29">
        <f>H209-$J$11</f>
        <v>-37.409999999999854</v>
      </c>
      <c r="J209" s="28">
        <v>192</v>
      </c>
      <c r="K209" s="21"/>
    </row>
    <row r="210" spans="2:11" x14ac:dyDescent="0.25">
      <c r="B210" s="27" t="s">
        <v>63</v>
      </c>
      <c r="C210" s="28" t="s">
        <v>394</v>
      </c>
      <c r="D210" s="28">
        <v>7180</v>
      </c>
      <c r="E210" s="29">
        <v>1265.8699999999999</v>
      </c>
      <c r="F210" s="28">
        <v>193</v>
      </c>
      <c r="G210" s="28">
        <v>7180</v>
      </c>
      <c r="H210" s="29">
        <v>1265.8699999999999</v>
      </c>
      <c r="I210" s="29">
        <f>H210-$J$11</f>
        <v>-38.440000000000055</v>
      </c>
      <c r="J210" s="28">
        <v>193</v>
      </c>
      <c r="K210" s="21"/>
    </row>
    <row r="211" spans="2:11" x14ac:dyDescent="0.25">
      <c r="B211" s="27" t="s">
        <v>302</v>
      </c>
      <c r="C211" s="28" t="s">
        <v>640</v>
      </c>
      <c r="D211" s="28">
        <v>10470</v>
      </c>
      <c r="E211" s="29">
        <v>1265.47</v>
      </c>
      <c r="F211" s="28">
        <v>194</v>
      </c>
      <c r="G211" s="28">
        <v>10470</v>
      </c>
      <c r="H211" s="30">
        <v>1265.47</v>
      </c>
      <c r="I211" s="29">
        <f>H211-$J$11</f>
        <v>-38.839999999999918</v>
      </c>
      <c r="J211" s="28">
        <v>194</v>
      </c>
      <c r="K211" s="21"/>
    </row>
    <row r="212" spans="2:11" x14ac:dyDescent="0.25">
      <c r="B212" s="27" t="s">
        <v>305</v>
      </c>
      <c r="C212" s="28" t="s">
        <v>643</v>
      </c>
      <c r="D212" s="28">
        <v>7657</v>
      </c>
      <c r="E212" s="29">
        <v>1261.3</v>
      </c>
      <c r="F212" s="28">
        <v>195</v>
      </c>
      <c r="G212" s="28">
        <v>7657</v>
      </c>
      <c r="H212" s="30">
        <v>1261.3</v>
      </c>
      <c r="I212" s="29">
        <f>H212-$J$11</f>
        <v>-43.009999999999991</v>
      </c>
      <c r="J212" s="28">
        <v>195</v>
      </c>
      <c r="K212" s="21"/>
    </row>
    <row r="213" spans="2:11" x14ac:dyDescent="0.25">
      <c r="B213" s="27" t="s">
        <v>37</v>
      </c>
      <c r="C213" s="28" t="s">
        <v>366</v>
      </c>
      <c r="D213" s="28">
        <v>7342</v>
      </c>
      <c r="E213" s="29">
        <v>1259.6099999999999</v>
      </c>
      <c r="F213" s="28">
        <v>196</v>
      </c>
      <c r="G213" s="28">
        <v>7342</v>
      </c>
      <c r="H213" s="29">
        <v>1259.6099999999999</v>
      </c>
      <c r="I213" s="29">
        <f>H213-$J$11</f>
        <v>-44.700000000000045</v>
      </c>
      <c r="J213" s="28">
        <v>196</v>
      </c>
      <c r="K213" s="21"/>
    </row>
    <row r="214" spans="2:11" x14ac:dyDescent="0.25">
      <c r="B214" s="27" t="s">
        <v>123</v>
      </c>
      <c r="C214" s="28" t="s">
        <v>455</v>
      </c>
      <c r="D214" s="28">
        <v>5530</v>
      </c>
      <c r="E214" s="29">
        <v>1257.1600000000001</v>
      </c>
      <c r="F214" s="28">
        <v>197</v>
      </c>
      <c r="G214" s="28">
        <v>5530</v>
      </c>
      <c r="H214" s="30">
        <v>1257.1600000000001</v>
      </c>
      <c r="I214" s="29">
        <f>H214-$J$11</f>
        <v>-47.149999999999864</v>
      </c>
      <c r="J214" s="28">
        <v>197</v>
      </c>
      <c r="K214" s="21"/>
    </row>
    <row r="215" spans="2:11" x14ac:dyDescent="0.25">
      <c r="B215" s="27" t="s">
        <v>71</v>
      </c>
      <c r="C215" s="28" t="s">
        <v>402</v>
      </c>
      <c r="D215" s="28">
        <v>5570</v>
      </c>
      <c r="E215" s="29">
        <v>1256.8</v>
      </c>
      <c r="F215" s="28">
        <v>198</v>
      </c>
      <c r="G215" s="28">
        <v>5570</v>
      </c>
      <c r="H215" s="29">
        <v>1256.8</v>
      </c>
      <c r="I215" s="29">
        <f>H215-$J$11</f>
        <v>-47.509999999999991</v>
      </c>
      <c r="J215" s="28">
        <v>198</v>
      </c>
      <c r="K215" s="21"/>
    </row>
    <row r="216" spans="2:11" x14ac:dyDescent="0.25">
      <c r="B216" s="27" t="s">
        <v>106</v>
      </c>
      <c r="C216" s="28" t="s">
        <v>438</v>
      </c>
      <c r="D216" s="28">
        <v>4131</v>
      </c>
      <c r="E216" s="29">
        <v>1255.24</v>
      </c>
      <c r="F216" s="28">
        <v>199</v>
      </c>
      <c r="G216" s="28">
        <v>4131</v>
      </c>
      <c r="H216" s="29">
        <v>1255.24</v>
      </c>
      <c r="I216" s="29">
        <f>H216-$J$11</f>
        <v>-49.069999999999936</v>
      </c>
      <c r="J216" s="28">
        <v>199</v>
      </c>
      <c r="K216" s="21"/>
    </row>
    <row r="217" spans="2:11" x14ac:dyDescent="0.25">
      <c r="B217" s="27" t="s">
        <v>101</v>
      </c>
      <c r="C217" s="28" t="s">
        <v>433</v>
      </c>
      <c r="D217" s="28">
        <v>5274</v>
      </c>
      <c r="E217" s="29">
        <v>1255.0899999999999</v>
      </c>
      <c r="F217" s="28">
        <v>200</v>
      </c>
      <c r="G217" s="28">
        <v>5274</v>
      </c>
      <c r="H217" s="30">
        <v>1255.0899999999999</v>
      </c>
      <c r="I217" s="29">
        <f>H217-$J$11</f>
        <v>-49.220000000000027</v>
      </c>
      <c r="J217" s="28">
        <v>200</v>
      </c>
      <c r="K217" s="21"/>
    </row>
    <row r="218" spans="2:11" x14ac:dyDescent="0.25">
      <c r="B218" s="27" t="s">
        <v>192</v>
      </c>
      <c r="C218" s="28" t="s">
        <v>526</v>
      </c>
      <c r="D218" s="28">
        <v>4575</v>
      </c>
      <c r="E218" s="29">
        <v>1253.6300000000001</v>
      </c>
      <c r="F218" s="28">
        <v>201</v>
      </c>
      <c r="G218" s="28">
        <v>4575</v>
      </c>
      <c r="H218" s="29">
        <v>1253.6300000000001</v>
      </c>
      <c r="I218" s="29">
        <f>H218-$J$11</f>
        <v>-50.679999999999836</v>
      </c>
      <c r="J218" s="28">
        <v>201</v>
      </c>
      <c r="K218" s="21"/>
    </row>
    <row r="219" spans="2:11" x14ac:dyDescent="0.25">
      <c r="B219" s="27" t="s">
        <v>292</v>
      </c>
      <c r="C219" s="28" t="s">
        <v>630</v>
      </c>
      <c r="D219" s="28">
        <v>50775</v>
      </c>
      <c r="E219" s="29">
        <v>1250.92</v>
      </c>
      <c r="F219" s="28">
        <v>202</v>
      </c>
      <c r="G219" s="28">
        <v>50775</v>
      </c>
      <c r="H219" s="29">
        <v>1250.92</v>
      </c>
      <c r="I219" s="29">
        <f>H219-$J$11</f>
        <v>-53.389999999999873</v>
      </c>
      <c r="J219" s="28">
        <v>202</v>
      </c>
      <c r="K219" s="21"/>
    </row>
    <row r="220" spans="2:11" x14ac:dyDescent="0.25">
      <c r="B220" s="27" t="s">
        <v>165</v>
      </c>
      <c r="C220" s="28" t="s">
        <v>498</v>
      </c>
      <c r="D220" s="28">
        <v>4177</v>
      </c>
      <c r="E220" s="29">
        <v>1250.68</v>
      </c>
      <c r="F220" s="28">
        <v>203</v>
      </c>
      <c r="G220" s="28">
        <v>4177</v>
      </c>
      <c r="H220" s="29">
        <v>1250.68</v>
      </c>
      <c r="I220" s="29">
        <f>H220-$J$11</f>
        <v>-53.629999999999882</v>
      </c>
      <c r="J220" s="28">
        <v>203</v>
      </c>
      <c r="K220" s="21"/>
    </row>
    <row r="221" spans="2:11" x14ac:dyDescent="0.25">
      <c r="B221" s="27" t="s">
        <v>152</v>
      </c>
      <c r="C221" s="28" t="s">
        <v>485</v>
      </c>
      <c r="D221" s="28">
        <v>19182</v>
      </c>
      <c r="E221" s="29">
        <v>1250.03</v>
      </c>
      <c r="F221" s="28">
        <v>204</v>
      </c>
      <c r="G221" s="28">
        <v>19182</v>
      </c>
      <c r="H221" s="30">
        <v>1250.03</v>
      </c>
      <c r="I221" s="29">
        <f>H221-$J$11</f>
        <v>-54.279999999999973</v>
      </c>
      <c r="J221" s="28">
        <v>204</v>
      </c>
      <c r="K221" s="21"/>
    </row>
    <row r="222" spans="2:11" x14ac:dyDescent="0.25">
      <c r="B222" s="27" t="s">
        <v>26</v>
      </c>
      <c r="C222" s="28" t="s">
        <v>354</v>
      </c>
      <c r="D222" s="28">
        <v>8372</v>
      </c>
      <c r="E222" s="29">
        <v>1248.3499999999999</v>
      </c>
      <c r="F222" s="28">
        <v>205</v>
      </c>
      <c r="G222" s="28">
        <v>8372</v>
      </c>
      <c r="H222" s="29">
        <v>1248.3499999999999</v>
      </c>
      <c r="I222" s="29">
        <f>H222-$J$11</f>
        <v>-55.960000000000036</v>
      </c>
      <c r="J222" s="28">
        <v>205</v>
      </c>
      <c r="K222" s="21"/>
    </row>
    <row r="223" spans="2:11" x14ac:dyDescent="0.25">
      <c r="B223" s="27" t="s">
        <v>40</v>
      </c>
      <c r="C223" s="28" t="s">
        <v>369</v>
      </c>
      <c r="D223" s="28">
        <v>27259</v>
      </c>
      <c r="E223" s="29">
        <v>1248.19</v>
      </c>
      <c r="F223" s="28">
        <v>206</v>
      </c>
      <c r="G223" s="28">
        <v>27259</v>
      </c>
      <c r="H223" s="30">
        <v>1248.19</v>
      </c>
      <c r="I223" s="29">
        <f>H223-$J$11</f>
        <v>-56.119999999999891</v>
      </c>
      <c r="J223" s="28">
        <v>206</v>
      </c>
      <c r="K223" s="21"/>
    </row>
    <row r="224" spans="2:11" x14ac:dyDescent="0.25">
      <c r="B224" s="27" t="s">
        <v>347</v>
      </c>
      <c r="C224" s="28" t="s">
        <v>554</v>
      </c>
      <c r="D224" s="28">
        <v>12135</v>
      </c>
      <c r="E224" s="29">
        <v>1245.8800000000001</v>
      </c>
      <c r="F224" s="28">
        <v>207</v>
      </c>
      <c r="G224" s="28">
        <v>12135</v>
      </c>
      <c r="H224" s="29">
        <v>1245.8800000000001</v>
      </c>
      <c r="I224" s="29">
        <f>H224-$J$11</f>
        <v>-58.429999999999836</v>
      </c>
      <c r="J224" s="28">
        <v>207</v>
      </c>
      <c r="K224" s="21"/>
    </row>
    <row r="225" spans="2:11" x14ac:dyDescent="0.25">
      <c r="B225" s="27" t="s">
        <v>166</v>
      </c>
      <c r="C225" s="28" t="s">
        <v>499</v>
      </c>
      <c r="D225" s="28">
        <v>5717</v>
      </c>
      <c r="E225" s="29">
        <v>1241.46</v>
      </c>
      <c r="F225" s="28">
        <v>208</v>
      </c>
      <c r="G225" s="28">
        <v>5717</v>
      </c>
      <c r="H225" s="29">
        <v>1241.46</v>
      </c>
      <c r="I225" s="29">
        <f>H225-$J$11</f>
        <v>-62.849999999999909</v>
      </c>
      <c r="J225" s="28">
        <v>208</v>
      </c>
      <c r="K225" s="21"/>
    </row>
    <row r="226" spans="2:11" x14ac:dyDescent="0.25">
      <c r="B226" s="27" t="s">
        <v>139</v>
      </c>
      <c r="C226" s="28" t="s">
        <v>472</v>
      </c>
      <c r="D226" s="28">
        <v>2220</v>
      </c>
      <c r="E226" s="29">
        <v>1239.73</v>
      </c>
      <c r="F226" s="28">
        <v>209</v>
      </c>
      <c r="G226" s="28">
        <v>2220</v>
      </c>
      <c r="H226" s="29">
        <v>1239.73</v>
      </c>
      <c r="I226" s="29">
        <f>H226-$J$11</f>
        <v>-64.579999999999927</v>
      </c>
      <c r="J226" s="28">
        <v>209</v>
      </c>
      <c r="K226" s="21"/>
    </row>
    <row r="227" spans="2:11" x14ac:dyDescent="0.25">
      <c r="B227" s="27" t="s">
        <v>220</v>
      </c>
      <c r="C227" s="28" t="s">
        <v>555</v>
      </c>
      <c r="D227" s="28">
        <v>5870</v>
      </c>
      <c r="E227" s="29">
        <v>1239.54</v>
      </c>
      <c r="F227" s="28">
        <v>210</v>
      </c>
      <c r="G227" s="28">
        <v>5870</v>
      </c>
      <c r="H227" s="29">
        <v>1239.54</v>
      </c>
      <c r="I227" s="29">
        <f>H227-$J$11</f>
        <v>-64.769999999999982</v>
      </c>
      <c r="J227" s="28">
        <v>210</v>
      </c>
      <c r="K227" s="21"/>
    </row>
    <row r="228" spans="2:11" x14ac:dyDescent="0.25">
      <c r="B228" s="27" t="s">
        <v>219</v>
      </c>
      <c r="C228" s="28" t="s">
        <v>553</v>
      </c>
      <c r="D228" s="28">
        <v>20870</v>
      </c>
      <c r="E228" s="29">
        <v>1231.74</v>
      </c>
      <c r="F228" s="28">
        <v>211</v>
      </c>
      <c r="G228" s="28">
        <v>20870</v>
      </c>
      <c r="H228" s="29">
        <v>1231.74</v>
      </c>
      <c r="I228" s="29">
        <f>H228-$J$11</f>
        <v>-72.569999999999936</v>
      </c>
      <c r="J228" s="28">
        <v>211</v>
      </c>
      <c r="K228" s="21"/>
    </row>
    <row r="229" spans="2:11" x14ac:dyDescent="0.25">
      <c r="B229" s="27" t="s">
        <v>22</v>
      </c>
      <c r="C229" s="28" t="s">
        <v>350</v>
      </c>
      <c r="D229" s="28">
        <v>8222</v>
      </c>
      <c r="E229" s="29">
        <v>1231.02</v>
      </c>
      <c r="F229" s="28">
        <v>212</v>
      </c>
      <c r="G229" s="28">
        <v>8222</v>
      </c>
      <c r="H229" s="29">
        <v>1231.02</v>
      </c>
      <c r="I229" s="29">
        <f>H229-$J$11</f>
        <v>-73.289999999999964</v>
      </c>
      <c r="J229" s="28">
        <v>212</v>
      </c>
      <c r="K229" s="21"/>
    </row>
    <row r="230" spans="2:11" x14ac:dyDescent="0.25">
      <c r="B230" s="27" t="s">
        <v>206</v>
      </c>
      <c r="C230" s="28" t="s">
        <v>540</v>
      </c>
      <c r="D230" s="28">
        <v>520</v>
      </c>
      <c r="E230" s="29">
        <v>1227.69</v>
      </c>
      <c r="F230" s="28">
        <v>213</v>
      </c>
      <c r="G230" s="28">
        <v>520</v>
      </c>
      <c r="H230" s="29">
        <v>1227.69</v>
      </c>
      <c r="I230" s="29">
        <f>H230-$J$11</f>
        <v>-76.619999999999891</v>
      </c>
      <c r="J230" s="28">
        <v>213</v>
      </c>
      <c r="K230" s="21"/>
    </row>
    <row r="231" spans="2:11" x14ac:dyDescent="0.25">
      <c r="B231" s="27" t="s">
        <v>195</v>
      </c>
      <c r="C231" s="28" t="s">
        <v>529</v>
      </c>
      <c r="D231" s="28">
        <v>5445</v>
      </c>
      <c r="E231" s="29">
        <v>1227.24</v>
      </c>
      <c r="F231" s="28">
        <v>214</v>
      </c>
      <c r="G231" s="28">
        <v>5445</v>
      </c>
      <c r="H231" s="29">
        <v>1227.24</v>
      </c>
      <c r="I231" s="29">
        <f>H231-$J$11</f>
        <v>-77.069999999999936</v>
      </c>
      <c r="J231" s="28">
        <v>214</v>
      </c>
      <c r="K231" s="21"/>
    </row>
    <row r="232" spans="2:11" x14ac:dyDescent="0.25">
      <c r="B232" s="27" t="s">
        <v>317</v>
      </c>
      <c r="C232" s="28" t="s">
        <v>655</v>
      </c>
      <c r="D232" s="28">
        <v>12286</v>
      </c>
      <c r="E232" s="29">
        <v>1227.17</v>
      </c>
      <c r="F232" s="28">
        <v>215</v>
      </c>
      <c r="G232" s="28">
        <v>12286</v>
      </c>
      <c r="H232" s="30">
        <v>1227.17</v>
      </c>
      <c r="I232" s="29">
        <f>H232-$J$11</f>
        <v>-77.139999999999873</v>
      </c>
      <c r="J232" s="28">
        <v>215</v>
      </c>
      <c r="K232" s="21"/>
    </row>
    <row r="233" spans="2:11" x14ac:dyDescent="0.25">
      <c r="B233" s="27" t="s">
        <v>141</v>
      </c>
      <c r="C233" s="28" t="s">
        <v>474</v>
      </c>
      <c r="D233" s="28">
        <v>19422</v>
      </c>
      <c r="E233" s="29">
        <v>1227.1400000000001</v>
      </c>
      <c r="F233" s="28">
        <v>216</v>
      </c>
      <c r="G233" s="28">
        <v>19422</v>
      </c>
      <c r="H233" s="29">
        <v>1227.1400000000001</v>
      </c>
      <c r="I233" s="29">
        <f>H233-$J$11</f>
        <v>-77.169999999999845</v>
      </c>
      <c r="J233" s="28">
        <v>216</v>
      </c>
      <c r="K233" s="21"/>
    </row>
    <row r="234" spans="2:11" x14ac:dyDescent="0.25">
      <c r="B234" s="27" t="s">
        <v>235</v>
      </c>
      <c r="C234" s="28" t="s">
        <v>571</v>
      </c>
      <c r="D234" s="28">
        <v>9666</v>
      </c>
      <c r="E234" s="29">
        <v>1225.67</v>
      </c>
      <c r="F234" s="28">
        <v>217</v>
      </c>
      <c r="G234" s="28">
        <v>9666</v>
      </c>
      <c r="H234" s="29">
        <v>1225.67</v>
      </c>
      <c r="I234" s="29">
        <f>H234-$J$11</f>
        <v>-78.639999999999873</v>
      </c>
      <c r="J234" s="28">
        <v>217</v>
      </c>
      <c r="K234" s="21"/>
    </row>
    <row r="235" spans="2:11" x14ac:dyDescent="0.25">
      <c r="B235" s="27" t="s">
        <v>171</v>
      </c>
      <c r="C235" s="28" t="s">
        <v>504</v>
      </c>
      <c r="D235" s="28">
        <v>13359</v>
      </c>
      <c r="E235" s="29">
        <v>1225.58</v>
      </c>
      <c r="F235" s="28">
        <v>218</v>
      </c>
      <c r="G235" s="28">
        <v>13359</v>
      </c>
      <c r="H235" s="29">
        <v>1225.58</v>
      </c>
      <c r="I235" s="29">
        <f>H235-$J$11</f>
        <v>-78.730000000000018</v>
      </c>
      <c r="J235" s="28">
        <v>218</v>
      </c>
      <c r="K235" s="21"/>
    </row>
    <row r="236" spans="2:11" x14ac:dyDescent="0.25">
      <c r="B236" s="27" t="s">
        <v>89</v>
      </c>
      <c r="C236" s="28" t="s">
        <v>421</v>
      </c>
      <c r="D236" s="28">
        <v>8800</v>
      </c>
      <c r="E236" s="29">
        <v>1225</v>
      </c>
      <c r="F236" s="28">
        <v>219</v>
      </c>
      <c r="G236" s="28">
        <v>8800</v>
      </c>
      <c r="H236" s="29">
        <v>1225</v>
      </c>
      <c r="I236" s="29">
        <f>H236-$J$11</f>
        <v>-79.309999999999945</v>
      </c>
      <c r="J236" s="28">
        <v>219</v>
      </c>
      <c r="K236" s="21"/>
    </row>
    <row r="237" spans="2:11" x14ac:dyDescent="0.25">
      <c r="B237" s="27" t="s">
        <v>306</v>
      </c>
      <c r="C237" s="28" t="s">
        <v>644</v>
      </c>
      <c r="D237" s="28">
        <v>3587</v>
      </c>
      <c r="E237" s="29">
        <v>1224.93</v>
      </c>
      <c r="F237" s="28">
        <v>220</v>
      </c>
      <c r="G237" s="28">
        <v>3587</v>
      </c>
      <c r="H237" s="30">
        <v>1224.93</v>
      </c>
      <c r="I237" s="29">
        <f>H237-$J$11</f>
        <v>-79.379999999999882</v>
      </c>
      <c r="J237" s="28">
        <v>220</v>
      </c>
      <c r="K237" s="21"/>
    </row>
    <row r="238" spans="2:11" x14ac:dyDescent="0.25">
      <c r="B238" s="27" t="s">
        <v>183</v>
      </c>
      <c r="C238" s="28" t="s">
        <v>517</v>
      </c>
      <c r="D238" s="28">
        <v>16734</v>
      </c>
      <c r="E238" s="29">
        <v>1223.71</v>
      </c>
      <c r="F238" s="28">
        <v>221</v>
      </c>
      <c r="G238" s="28">
        <v>16734</v>
      </c>
      <c r="H238" s="29">
        <v>1223.71</v>
      </c>
      <c r="I238" s="29">
        <f>H238-$J$11</f>
        <v>-80.599999999999909</v>
      </c>
      <c r="J238" s="28">
        <v>221</v>
      </c>
      <c r="K238" s="21"/>
    </row>
    <row r="239" spans="2:11" x14ac:dyDescent="0.25">
      <c r="B239" s="27" t="s">
        <v>324</v>
      </c>
      <c r="C239" s="28" t="s">
        <v>662</v>
      </c>
      <c r="D239" s="28">
        <v>6881</v>
      </c>
      <c r="E239" s="29">
        <v>1222.5</v>
      </c>
      <c r="F239" s="28">
        <v>222</v>
      </c>
      <c r="G239" s="28">
        <v>6881</v>
      </c>
      <c r="H239" s="30">
        <v>1222.5</v>
      </c>
      <c r="I239" s="29">
        <f>H239-$J$11</f>
        <v>-81.809999999999945</v>
      </c>
      <c r="J239" s="28">
        <v>222</v>
      </c>
      <c r="K239" s="21"/>
    </row>
    <row r="240" spans="2:11" x14ac:dyDescent="0.25">
      <c r="B240" s="27" t="s">
        <v>244</v>
      </c>
      <c r="C240" s="28" t="s">
        <v>580</v>
      </c>
      <c r="D240" s="28">
        <v>4331</v>
      </c>
      <c r="E240" s="29">
        <v>1219.1500000000001</v>
      </c>
      <c r="F240" s="28">
        <v>223</v>
      </c>
      <c r="G240" s="28">
        <v>4331</v>
      </c>
      <c r="H240" s="29">
        <v>1219.1500000000001</v>
      </c>
      <c r="I240" s="29">
        <f>H240-$J$11</f>
        <v>-85.159999999999854</v>
      </c>
      <c r="J240" s="28">
        <v>223</v>
      </c>
      <c r="K240" s="21"/>
    </row>
    <row r="241" spans="2:11" x14ac:dyDescent="0.25">
      <c r="B241" s="27" t="s">
        <v>147</v>
      </c>
      <c r="C241" s="28" t="s">
        <v>480</v>
      </c>
      <c r="D241" s="28">
        <v>12817</v>
      </c>
      <c r="E241" s="29">
        <v>1215.69</v>
      </c>
      <c r="F241" s="28">
        <v>224</v>
      </c>
      <c r="G241" s="28">
        <v>12817</v>
      </c>
      <c r="H241" s="29">
        <v>1215.69</v>
      </c>
      <c r="I241" s="29">
        <f>H241-$J$11</f>
        <v>-88.619999999999891</v>
      </c>
      <c r="J241" s="28">
        <v>224</v>
      </c>
      <c r="K241" s="21"/>
    </row>
    <row r="242" spans="2:11" x14ac:dyDescent="0.25">
      <c r="B242" s="27" t="s">
        <v>240</v>
      </c>
      <c r="C242" s="28" t="s">
        <v>576</v>
      </c>
      <c r="D242" s="28">
        <v>13787</v>
      </c>
      <c r="E242" s="29">
        <v>1214.0999999999999</v>
      </c>
      <c r="F242" s="28">
        <v>225</v>
      </c>
      <c r="G242" s="28">
        <v>13787</v>
      </c>
      <c r="H242" s="29">
        <v>1214.0999999999999</v>
      </c>
      <c r="I242" s="29">
        <f>H242-$J$11</f>
        <v>-90.210000000000036</v>
      </c>
      <c r="J242" s="28">
        <v>225</v>
      </c>
      <c r="K242" s="21"/>
    </row>
    <row r="243" spans="2:11" x14ac:dyDescent="0.25">
      <c r="B243" s="27" t="s">
        <v>299</v>
      </c>
      <c r="C243" s="28" t="s">
        <v>637</v>
      </c>
      <c r="D243" s="28">
        <v>6715</v>
      </c>
      <c r="E243" s="29">
        <v>1211.99</v>
      </c>
      <c r="F243" s="28">
        <v>226</v>
      </c>
      <c r="G243" s="28">
        <v>6715</v>
      </c>
      <c r="H243" s="29">
        <v>1211.99</v>
      </c>
      <c r="I243" s="29">
        <f>H243-$J$11</f>
        <v>-92.319999999999936</v>
      </c>
      <c r="J243" s="28">
        <v>226</v>
      </c>
      <c r="K243" s="21"/>
    </row>
    <row r="244" spans="2:11" x14ac:dyDescent="0.25">
      <c r="B244" s="27" t="s">
        <v>113</v>
      </c>
      <c r="C244" s="28" t="s">
        <v>445</v>
      </c>
      <c r="D244" s="28">
        <v>8690</v>
      </c>
      <c r="E244" s="29">
        <v>1210.04</v>
      </c>
      <c r="F244" s="28">
        <v>227</v>
      </c>
      <c r="G244" s="28">
        <v>8690</v>
      </c>
      <c r="H244" s="29">
        <v>1210.04</v>
      </c>
      <c r="I244" s="29">
        <f>H244-$J$11</f>
        <v>-94.269999999999982</v>
      </c>
      <c r="J244" s="28">
        <v>227</v>
      </c>
      <c r="K244" s="21"/>
    </row>
    <row r="245" spans="2:11" x14ac:dyDescent="0.25">
      <c r="B245" s="27" t="s">
        <v>232</v>
      </c>
      <c r="C245" s="28" t="s">
        <v>568</v>
      </c>
      <c r="D245" s="28">
        <v>12586</v>
      </c>
      <c r="E245" s="29">
        <v>1206.45</v>
      </c>
      <c r="F245" s="28">
        <v>228</v>
      </c>
      <c r="G245" s="28">
        <v>12586</v>
      </c>
      <c r="H245" s="29">
        <v>1206.45</v>
      </c>
      <c r="I245" s="29">
        <f>H245-$J$11</f>
        <v>-97.8599999999999</v>
      </c>
      <c r="J245" s="28">
        <v>228</v>
      </c>
      <c r="K245" s="21"/>
    </row>
    <row r="246" spans="2:11" x14ac:dyDescent="0.25">
      <c r="B246" s="27" t="s">
        <v>137</v>
      </c>
      <c r="C246" s="28" t="s">
        <v>469</v>
      </c>
      <c r="D246" s="28">
        <v>14991</v>
      </c>
      <c r="E246" s="29">
        <v>1204.18</v>
      </c>
      <c r="F246" s="28">
        <v>229</v>
      </c>
      <c r="G246" s="28">
        <v>14991</v>
      </c>
      <c r="H246" s="31">
        <v>1204.18</v>
      </c>
      <c r="I246" s="29">
        <f>H246-$J$11</f>
        <v>-100.12999999999988</v>
      </c>
      <c r="J246" s="28">
        <v>229</v>
      </c>
      <c r="K246" s="21"/>
    </row>
    <row r="247" spans="2:11" x14ac:dyDescent="0.25">
      <c r="B247" s="27" t="s">
        <v>278</v>
      </c>
      <c r="C247" s="28" t="s">
        <v>615</v>
      </c>
      <c r="D247" s="28">
        <v>11410</v>
      </c>
      <c r="E247" s="29">
        <v>1199.43</v>
      </c>
      <c r="F247" s="28">
        <v>230</v>
      </c>
      <c r="G247" s="28">
        <v>11410</v>
      </c>
      <c r="H247" s="30">
        <v>1199.43</v>
      </c>
      <c r="I247" s="29">
        <f>H247-$J$11</f>
        <v>-104.87999999999988</v>
      </c>
      <c r="J247" s="28">
        <v>230</v>
      </c>
      <c r="K247" s="21"/>
    </row>
    <row r="248" spans="2:11" x14ac:dyDescent="0.25">
      <c r="B248" s="27" t="s">
        <v>341</v>
      </c>
      <c r="C248" s="28" t="s">
        <v>414</v>
      </c>
      <c r="D248" s="28">
        <v>9177</v>
      </c>
      <c r="E248" s="29">
        <v>1198.28</v>
      </c>
      <c r="F248" s="28">
        <v>231</v>
      </c>
      <c r="G248" s="28">
        <v>9177</v>
      </c>
      <c r="H248" s="29">
        <v>1198.28</v>
      </c>
      <c r="I248" s="29">
        <f>H248-$J$11</f>
        <v>-106.02999999999997</v>
      </c>
      <c r="J248" s="28">
        <v>231</v>
      </c>
      <c r="K248" s="21"/>
    </row>
    <row r="249" spans="2:11" x14ac:dyDescent="0.25">
      <c r="B249" s="27" t="s">
        <v>127</v>
      </c>
      <c r="C249" s="28" t="s">
        <v>459</v>
      </c>
      <c r="D249" s="28">
        <v>6700</v>
      </c>
      <c r="E249" s="29">
        <v>1197.24</v>
      </c>
      <c r="F249" s="28">
        <v>232</v>
      </c>
      <c r="G249" s="28">
        <v>6700</v>
      </c>
      <c r="H249" s="29">
        <v>1197.24</v>
      </c>
      <c r="I249" s="29">
        <f>H249-$J$11</f>
        <v>-107.06999999999994</v>
      </c>
      <c r="J249" s="28">
        <v>232</v>
      </c>
      <c r="K249" s="21"/>
    </row>
    <row r="250" spans="2:11" x14ac:dyDescent="0.25">
      <c r="B250" s="27" t="s">
        <v>259</v>
      </c>
      <c r="C250" s="28" t="s">
        <v>596</v>
      </c>
      <c r="D250" s="28">
        <v>7247</v>
      </c>
      <c r="E250" s="29">
        <v>1191.56</v>
      </c>
      <c r="F250" s="28">
        <v>233</v>
      </c>
      <c r="G250" s="28">
        <v>7247</v>
      </c>
      <c r="H250" s="29">
        <v>1191.56</v>
      </c>
      <c r="I250" s="29">
        <f>H250-$J$11</f>
        <v>-112.75</v>
      </c>
      <c r="J250" s="28">
        <v>233</v>
      </c>
      <c r="K250" s="21"/>
    </row>
    <row r="251" spans="2:11" x14ac:dyDescent="0.25">
      <c r="B251" s="27" t="s">
        <v>216</v>
      </c>
      <c r="C251" s="28" t="s">
        <v>550</v>
      </c>
      <c r="D251" s="28">
        <v>8427</v>
      </c>
      <c r="E251" s="29">
        <v>1185.8900000000001</v>
      </c>
      <c r="F251" s="28">
        <v>234</v>
      </c>
      <c r="G251" s="28">
        <v>8427</v>
      </c>
      <c r="H251" s="29">
        <v>1185.8900000000001</v>
      </c>
      <c r="I251" s="29">
        <f>H251-$J$11</f>
        <v>-118.41999999999985</v>
      </c>
      <c r="J251" s="28">
        <v>234</v>
      </c>
      <c r="K251" s="21"/>
    </row>
    <row r="252" spans="2:11" x14ac:dyDescent="0.25">
      <c r="B252" s="27" t="s">
        <v>133</v>
      </c>
      <c r="C252" s="28" t="s">
        <v>465</v>
      </c>
      <c r="D252" s="28">
        <v>8090</v>
      </c>
      <c r="E252" s="29">
        <v>1183.32</v>
      </c>
      <c r="F252" s="28">
        <v>235</v>
      </c>
      <c r="G252" s="28">
        <v>8090</v>
      </c>
      <c r="H252" s="30">
        <v>1183.32</v>
      </c>
      <c r="I252" s="29">
        <f>H252-$J$11</f>
        <v>-120.99000000000001</v>
      </c>
      <c r="J252" s="28">
        <v>235</v>
      </c>
      <c r="K252" s="21"/>
    </row>
    <row r="253" spans="2:11" x14ac:dyDescent="0.25">
      <c r="B253" s="27" t="s">
        <v>173</v>
      </c>
      <c r="C253" s="28" t="s">
        <v>506</v>
      </c>
      <c r="D253" s="28">
        <v>1737</v>
      </c>
      <c r="E253" s="29">
        <v>1176.3399999999999</v>
      </c>
      <c r="F253" s="28">
        <v>236</v>
      </c>
      <c r="G253" s="28">
        <v>1737</v>
      </c>
      <c r="H253" s="29">
        <v>1176.3399999999999</v>
      </c>
      <c r="I253" s="29">
        <f>H253-$J$11</f>
        <v>-127.97000000000003</v>
      </c>
      <c r="J253" s="28">
        <v>236</v>
      </c>
      <c r="K253" s="21"/>
    </row>
    <row r="254" spans="2:11" x14ac:dyDescent="0.25">
      <c r="B254" s="27" t="s">
        <v>69</v>
      </c>
      <c r="C254" s="28" t="s">
        <v>400</v>
      </c>
      <c r="D254" s="28">
        <v>9762</v>
      </c>
      <c r="E254" s="29">
        <v>1172.98</v>
      </c>
      <c r="F254" s="28">
        <v>237</v>
      </c>
      <c r="G254" s="28">
        <v>9762</v>
      </c>
      <c r="H254" s="29">
        <v>1172.98</v>
      </c>
      <c r="I254" s="29">
        <f>H254-$J$11</f>
        <v>-131.32999999999993</v>
      </c>
      <c r="J254" s="28">
        <v>237</v>
      </c>
      <c r="K254" s="21"/>
    </row>
    <row r="255" spans="2:11" x14ac:dyDescent="0.25">
      <c r="B255" s="27" t="s">
        <v>291</v>
      </c>
      <c r="C255" s="28" t="s">
        <v>628</v>
      </c>
      <c r="D255" s="28">
        <v>10603</v>
      </c>
      <c r="E255" s="29">
        <v>1169.17</v>
      </c>
      <c r="F255" s="28">
        <v>238</v>
      </c>
      <c r="G255" s="28">
        <v>10603</v>
      </c>
      <c r="H255" s="29">
        <v>1169.17</v>
      </c>
      <c r="I255" s="29">
        <f>H255-$J$11</f>
        <v>-135.13999999999987</v>
      </c>
      <c r="J255" s="28">
        <v>238</v>
      </c>
      <c r="K255" s="21"/>
    </row>
    <row r="256" spans="2:11" x14ac:dyDescent="0.25">
      <c r="B256" s="27" t="s">
        <v>268</v>
      </c>
      <c r="C256" s="28" t="s">
        <v>605</v>
      </c>
      <c r="D256" s="28">
        <v>13217</v>
      </c>
      <c r="E256" s="29">
        <v>1162.93</v>
      </c>
      <c r="F256" s="28">
        <v>239</v>
      </c>
      <c r="G256" s="28">
        <v>13217</v>
      </c>
      <c r="H256" s="30">
        <v>1162.93</v>
      </c>
      <c r="I256" s="29">
        <f>H256-$J$11</f>
        <v>-141.37999999999988</v>
      </c>
      <c r="J256" s="28">
        <v>239</v>
      </c>
      <c r="K256" s="21"/>
    </row>
    <row r="257" spans="2:11" x14ac:dyDescent="0.25">
      <c r="B257" s="27" t="s">
        <v>274</v>
      </c>
      <c r="C257" s="28" t="s">
        <v>611</v>
      </c>
      <c r="D257" s="28">
        <v>2714</v>
      </c>
      <c r="E257" s="29">
        <v>1161.72</v>
      </c>
      <c r="F257" s="28">
        <v>240</v>
      </c>
      <c r="G257" s="28">
        <v>2714</v>
      </c>
      <c r="H257" s="29">
        <v>1161.72</v>
      </c>
      <c r="I257" s="29">
        <f>H257-$J$11</f>
        <v>-142.58999999999992</v>
      </c>
      <c r="J257" s="28">
        <v>240</v>
      </c>
      <c r="K257" s="21"/>
    </row>
    <row r="258" spans="2:11" x14ac:dyDescent="0.25">
      <c r="B258" s="27" t="s">
        <v>193</v>
      </c>
      <c r="C258" s="28" t="s">
        <v>527</v>
      </c>
      <c r="D258" s="28">
        <v>8445</v>
      </c>
      <c r="E258" s="29">
        <v>1159.1400000000001</v>
      </c>
      <c r="F258" s="28">
        <v>241</v>
      </c>
      <c r="G258" s="28">
        <v>8445</v>
      </c>
      <c r="H258" s="29">
        <v>1159.1400000000001</v>
      </c>
      <c r="I258" s="29">
        <f>H258-$J$11</f>
        <v>-145.16999999999985</v>
      </c>
      <c r="J258" s="28">
        <v>241</v>
      </c>
      <c r="K258" s="21"/>
    </row>
    <row r="259" spans="2:11" x14ac:dyDescent="0.25">
      <c r="B259" s="27" t="s">
        <v>104</v>
      </c>
      <c r="C259" s="28" t="s">
        <v>436</v>
      </c>
      <c r="D259" s="28">
        <v>5667</v>
      </c>
      <c r="E259" s="29">
        <v>1157.6300000000001</v>
      </c>
      <c r="F259" s="28">
        <v>242</v>
      </c>
      <c r="G259" s="28">
        <v>5667</v>
      </c>
      <c r="H259" s="29">
        <v>1157.6300000000001</v>
      </c>
      <c r="I259" s="29">
        <f>H259-$J$11</f>
        <v>-146.67999999999984</v>
      </c>
      <c r="J259" s="28">
        <v>242</v>
      </c>
    </row>
    <row r="260" spans="2:11" x14ac:dyDescent="0.25">
      <c r="B260" s="27" t="s">
        <v>175</v>
      </c>
      <c r="C260" s="28" t="s">
        <v>508</v>
      </c>
      <c r="D260" s="28">
        <v>38177</v>
      </c>
      <c r="E260" s="29">
        <v>1154.5899999999999</v>
      </c>
      <c r="F260" s="28">
        <v>243</v>
      </c>
      <c r="G260" s="28">
        <v>38177</v>
      </c>
      <c r="H260" s="29">
        <v>1154.5899999999999</v>
      </c>
      <c r="I260" s="29">
        <f>H260-$J$11</f>
        <v>-149.72000000000003</v>
      </c>
      <c r="J260" s="28">
        <v>243</v>
      </c>
    </row>
    <row r="261" spans="2:11" x14ac:dyDescent="0.25">
      <c r="B261" s="27" t="s">
        <v>170</v>
      </c>
      <c r="C261" s="28" t="s">
        <v>503</v>
      </c>
      <c r="D261" s="28">
        <v>10192</v>
      </c>
      <c r="E261" s="29">
        <v>1152.8</v>
      </c>
      <c r="F261" s="28">
        <v>244</v>
      </c>
      <c r="G261" s="28">
        <v>10192</v>
      </c>
      <c r="H261" s="29">
        <v>1152.8</v>
      </c>
      <c r="I261" s="29">
        <f>H261-$J$11</f>
        <v>-151.51</v>
      </c>
      <c r="J261" s="28">
        <v>244</v>
      </c>
    </row>
    <row r="262" spans="2:11" x14ac:dyDescent="0.25">
      <c r="B262" s="27" t="s">
        <v>39</v>
      </c>
      <c r="C262" s="28" t="s">
        <v>368</v>
      </c>
      <c r="D262" s="28">
        <v>3550</v>
      </c>
      <c r="E262" s="29">
        <v>1152.7</v>
      </c>
      <c r="F262" s="28">
        <v>245</v>
      </c>
      <c r="G262" s="28">
        <v>3550</v>
      </c>
      <c r="H262" s="29">
        <v>1152.7</v>
      </c>
      <c r="I262" s="29">
        <f>H262-$J$11</f>
        <v>-151.6099999999999</v>
      </c>
      <c r="J262" s="28">
        <v>245</v>
      </c>
    </row>
    <row r="263" spans="2:11" x14ac:dyDescent="0.25">
      <c r="B263" s="27" t="s">
        <v>288</v>
      </c>
      <c r="C263" s="28" t="s">
        <v>625</v>
      </c>
      <c r="D263" s="28">
        <v>5334</v>
      </c>
      <c r="E263" s="29">
        <v>1142.73</v>
      </c>
      <c r="F263" s="28">
        <v>246</v>
      </c>
      <c r="G263" s="28">
        <v>5334</v>
      </c>
      <c r="H263" s="29">
        <v>1142.73</v>
      </c>
      <c r="I263" s="29">
        <f>H263-$J$11</f>
        <v>-161.57999999999993</v>
      </c>
      <c r="J263" s="28">
        <v>246</v>
      </c>
    </row>
    <row r="264" spans="2:11" x14ac:dyDescent="0.25">
      <c r="B264" s="27" t="s">
        <v>92</v>
      </c>
      <c r="C264" s="28" t="s">
        <v>424</v>
      </c>
      <c r="D264" s="28">
        <v>7975</v>
      </c>
      <c r="E264" s="29">
        <v>1141.94</v>
      </c>
      <c r="F264" s="28">
        <v>247</v>
      </c>
      <c r="G264" s="28">
        <v>7975</v>
      </c>
      <c r="H264" s="29">
        <v>1141.94</v>
      </c>
      <c r="I264" s="29">
        <f>H264-$J$11</f>
        <v>-162.36999999999989</v>
      </c>
      <c r="J264" s="28">
        <v>247</v>
      </c>
    </row>
    <row r="265" spans="2:11" x14ac:dyDescent="0.25">
      <c r="B265" s="27" t="s">
        <v>222</v>
      </c>
      <c r="C265" s="28" t="s">
        <v>558</v>
      </c>
      <c r="D265" s="28">
        <v>18539</v>
      </c>
      <c r="E265" s="29">
        <v>1138.3</v>
      </c>
      <c r="F265" s="28">
        <v>248</v>
      </c>
      <c r="G265" s="28">
        <v>18539</v>
      </c>
      <c r="H265" s="29">
        <v>1138.3</v>
      </c>
      <c r="I265" s="29">
        <f>H265-$J$11</f>
        <v>-166.01</v>
      </c>
      <c r="J265" s="28">
        <v>248</v>
      </c>
    </row>
    <row r="266" spans="2:11" x14ac:dyDescent="0.25">
      <c r="B266" s="27" t="s">
        <v>134</v>
      </c>
      <c r="C266" s="28" t="s">
        <v>466</v>
      </c>
      <c r="D266" s="28">
        <v>4411</v>
      </c>
      <c r="E266" s="29">
        <v>1137.97</v>
      </c>
      <c r="F266" s="28">
        <v>249</v>
      </c>
      <c r="G266" s="28">
        <v>4411</v>
      </c>
      <c r="H266" s="29">
        <v>1137.97</v>
      </c>
      <c r="I266" s="29">
        <f>H266-$J$11</f>
        <v>-166.33999999999992</v>
      </c>
      <c r="J266" s="28">
        <v>249</v>
      </c>
    </row>
    <row r="267" spans="2:11" x14ac:dyDescent="0.25">
      <c r="B267" s="27" t="s">
        <v>329</v>
      </c>
      <c r="C267" s="28" t="s">
        <v>667</v>
      </c>
      <c r="D267" s="28">
        <v>6432</v>
      </c>
      <c r="E267" s="29">
        <v>1131.94</v>
      </c>
      <c r="F267" s="28">
        <v>250</v>
      </c>
      <c r="G267" s="28">
        <v>6432</v>
      </c>
      <c r="H267" s="30">
        <v>1131.94</v>
      </c>
      <c r="I267" s="29">
        <f>H267-$J$11</f>
        <v>-172.36999999999989</v>
      </c>
      <c r="J267" s="28">
        <v>250</v>
      </c>
    </row>
    <row r="268" spans="2:11" x14ac:dyDescent="0.25">
      <c r="B268" s="27" t="s">
        <v>257</v>
      </c>
      <c r="C268" s="28" t="s">
        <v>594</v>
      </c>
      <c r="D268" s="28">
        <v>9682</v>
      </c>
      <c r="E268" s="29">
        <v>1129.67</v>
      </c>
      <c r="F268" s="28">
        <v>251</v>
      </c>
      <c r="G268" s="28">
        <v>9682</v>
      </c>
      <c r="H268" s="30">
        <v>1129.67</v>
      </c>
      <c r="I268" s="29">
        <f>H268-$J$11</f>
        <v>-174.63999999999987</v>
      </c>
      <c r="J268" s="28">
        <v>251</v>
      </c>
    </row>
    <row r="269" spans="2:11" x14ac:dyDescent="0.25">
      <c r="B269" s="27" t="s">
        <v>345</v>
      </c>
      <c r="C269" s="28" t="s">
        <v>382</v>
      </c>
      <c r="D269" s="28">
        <v>5680</v>
      </c>
      <c r="E269" s="29">
        <v>1128.7</v>
      </c>
      <c r="F269" s="28">
        <v>252</v>
      </c>
      <c r="G269" s="28">
        <v>5680</v>
      </c>
      <c r="H269" s="29">
        <v>1128.7</v>
      </c>
      <c r="I269" s="29">
        <f>H269-$J$11</f>
        <v>-175.6099999999999</v>
      </c>
      <c r="J269" s="28">
        <v>252</v>
      </c>
    </row>
    <row r="270" spans="2:11" x14ac:dyDescent="0.25">
      <c r="B270" s="27" t="s">
        <v>338</v>
      </c>
      <c r="C270" s="28" t="s">
        <v>676</v>
      </c>
      <c r="D270" s="28">
        <v>10333</v>
      </c>
      <c r="E270" s="28">
        <v>1128.45</v>
      </c>
      <c r="F270" s="28">
        <v>253</v>
      </c>
      <c r="G270" s="28">
        <v>10333</v>
      </c>
      <c r="H270" s="30">
        <v>1128.45</v>
      </c>
      <c r="I270" s="29">
        <f>H270-$J$11</f>
        <v>-175.8599999999999</v>
      </c>
      <c r="J270" s="28">
        <v>253</v>
      </c>
    </row>
    <row r="271" spans="2:11" x14ac:dyDescent="0.25">
      <c r="B271" s="27" t="s">
        <v>327</v>
      </c>
      <c r="C271" s="28" t="s">
        <v>665</v>
      </c>
      <c r="D271" s="28">
        <v>5282</v>
      </c>
      <c r="E271" s="29">
        <v>1118.46</v>
      </c>
      <c r="F271" s="28">
        <v>254</v>
      </c>
      <c r="G271" s="28">
        <v>5282</v>
      </c>
      <c r="H271" s="30">
        <v>1118.46</v>
      </c>
      <c r="I271" s="29">
        <f>H271-$J$11</f>
        <v>-185.84999999999991</v>
      </c>
      <c r="J271" s="28">
        <v>254</v>
      </c>
    </row>
    <row r="272" spans="2:11" x14ac:dyDescent="0.25">
      <c r="B272" s="27" t="s">
        <v>303</v>
      </c>
      <c r="C272" s="28" t="s">
        <v>641</v>
      </c>
      <c r="D272" s="28">
        <v>14538</v>
      </c>
      <c r="E272" s="29">
        <v>1116.43</v>
      </c>
      <c r="F272" s="28">
        <v>255</v>
      </c>
      <c r="G272" s="28">
        <v>14538</v>
      </c>
      <c r="H272" s="30">
        <v>1116.43</v>
      </c>
      <c r="I272" s="29">
        <f>H272-$J$11</f>
        <v>-187.87999999999988</v>
      </c>
      <c r="J272" s="28">
        <v>255</v>
      </c>
    </row>
    <row r="273" spans="2:10" x14ac:dyDescent="0.25">
      <c r="B273" s="27" t="s">
        <v>75</v>
      </c>
      <c r="C273" s="28" t="s">
        <v>406</v>
      </c>
      <c r="D273" s="28">
        <v>7625</v>
      </c>
      <c r="E273" s="29">
        <v>1113.21</v>
      </c>
      <c r="F273" s="28">
        <v>256</v>
      </c>
      <c r="G273" s="28">
        <v>7625</v>
      </c>
      <c r="H273" s="29">
        <v>1113.21</v>
      </c>
      <c r="I273" s="29">
        <f>H273-$J$11</f>
        <v>-191.09999999999991</v>
      </c>
      <c r="J273" s="28">
        <v>256</v>
      </c>
    </row>
    <row r="274" spans="2:10" x14ac:dyDescent="0.25">
      <c r="B274" s="27" t="s">
        <v>182</v>
      </c>
      <c r="C274" s="28" t="s">
        <v>516</v>
      </c>
      <c r="D274" s="28">
        <v>26283</v>
      </c>
      <c r="E274" s="29">
        <v>1107.42</v>
      </c>
      <c r="F274" s="28">
        <v>257</v>
      </c>
      <c r="G274" s="28">
        <v>26283</v>
      </c>
      <c r="H274" s="29">
        <v>1107.42</v>
      </c>
      <c r="I274" s="29">
        <f>H274-$J$11</f>
        <v>-196.88999999999987</v>
      </c>
      <c r="J274" s="28">
        <v>257</v>
      </c>
    </row>
    <row r="275" spans="2:10" x14ac:dyDescent="0.25">
      <c r="B275" s="27" t="s">
        <v>116</v>
      </c>
      <c r="C275" s="28" t="s">
        <v>448</v>
      </c>
      <c r="D275" s="28">
        <v>7354</v>
      </c>
      <c r="E275" s="29">
        <v>1098.1400000000001</v>
      </c>
      <c r="F275" s="28">
        <v>258</v>
      </c>
      <c r="G275" s="28">
        <v>7354</v>
      </c>
      <c r="H275" s="29">
        <v>1098.1400000000001</v>
      </c>
      <c r="I275" s="29">
        <f>H275-$J$11</f>
        <v>-206.16999999999985</v>
      </c>
      <c r="J275" s="28">
        <v>258</v>
      </c>
    </row>
    <row r="276" spans="2:10" x14ac:dyDescent="0.25">
      <c r="B276" s="27" t="s">
        <v>273</v>
      </c>
      <c r="C276" s="28" t="s">
        <v>610</v>
      </c>
      <c r="D276" s="28">
        <v>9961</v>
      </c>
      <c r="E276" s="29">
        <v>1097.53</v>
      </c>
      <c r="F276" s="28">
        <v>259</v>
      </c>
      <c r="G276" s="28">
        <v>9961</v>
      </c>
      <c r="H276" s="29">
        <v>1097.53</v>
      </c>
      <c r="I276" s="29">
        <f>H276-$J$11</f>
        <v>-206.77999999999997</v>
      </c>
      <c r="J276" s="28">
        <v>259</v>
      </c>
    </row>
    <row r="277" spans="2:10" x14ac:dyDescent="0.25">
      <c r="B277" s="27" t="s">
        <v>72</v>
      </c>
      <c r="C277" s="28" t="s">
        <v>403</v>
      </c>
      <c r="D277" s="28">
        <v>3154</v>
      </c>
      <c r="E277" s="29">
        <v>1094.3900000000001</v>
      </c>
      <c r="F277" s="28">
        <v>260</v>
      </c>
      <c r="G277" s="28">
        <v>3154</v>
      </c>
      <c r="H277" s="29">
        <v>1094.3900000000001</v>
      </c>
      <c r="I277" s="29">
        <f>H277-$J$11</f>
        <v>-209.91999999999985</v>
      </c>
      <c r="J277" s="28">
        <v>260</v>
      </c>
    </row>
    <row r="278" spans="2:10" x14ac:dyDescent="0.25">
      <c r="B278" s="27" t="s">
        <v>31</v>
      </c>
      <c r="C278" s="28" t="s">
        <v>360</v>
      </c>
      <c r="D278" s="28">
        <v>46364</v>
      </c>
      <c r="E278" s="29">
        <v>1092.3</v>
      </c>
      <c r="F278" s="28">
        <v>261</v>
      </c>
      <c r="G278" s="28">
        <v>46364</v>
      </c>
      <c r="H278" s="29">
        <v>1092.3</v>
      </c>
      <c r="I278" s="29">
        <f>H278-$J$11</f>
        <v>-212.01</v>
      </c>
      <c r="J278" s="28">
        <v>261</v>
      </c>
    </row>
    <row r="279" spans="2:10" x14ac:dyDescent="0.25">
      <c r="B279" s="27" t="s">
        <v>223</v>
      </c>
      <c r="C279" s="28" t="s">
        <v>559</v>
      </c>
      <c r="D279" s="28">
        <v>23427</v>
      </c>
      <c r="E279" s="29">
        <v>1091.05</v>
      </c>
      <c r="F279" s="28">
        <v>262</v>
      </c>
      <c r="G279" s="28">
        <v>23427</v>
      </c>
      <c r="H279" s="31">
        <v>1091.05</v>
      </c>
      <c r="I279" s="29">
        <f>H279-$J$11</f>
        <v>-213.26</v>
      </c>
      <c r="J279" s="28">
        <v>262</v>
      </c>
    </row>
    <row r="280" spans="2:10" x14ac:dyDescent="0.25">
      <c r="B280" s="27" t="s">
        <v>228</v>
      </c>
      <c r="C280" s="28" t="s">
        <v>564</v>
      </c>
      <c r="D280" s="28">
        <v>9823</v>
      </c>
      <c r="E280" s="29">
        <v>1088.94</v>
      </c>
      <c r="F280" s="28">
        <v>263</v>
      </c>
      <c r="G280" s="28">
        <v>9823</v>
      </c>
      <c r="H280" s="29">
        <v>1088.94</v>
      </c>
      <c r="I280" s="29">
        <f>H280-$J$11</f>
        <v>-215.36999999999989</v>
      </c>
      <c r="J280" s="28">
        <v>263</v>
      </c>
    </row>
    <row r="281" spans="2:10" x14ac:dyDescent="0.25">
      <c r="B281" s="27" t="s">
        <v>289</v>
      </c>
      <c r="C281" s="28" t="s">
        <v>626</v>
      </c>
      <c r="D281" s="28">
        <v>6667</v>
      </c>
      <c r="E281" s="29">
        <v>1088.48</v>
      </c>
      <c r="F281" s="28">
        <v>264</v>
      </c>
      <c r="G281" s="28">
        <v>6667</v>
      </c>
      <c r="H281" s="29">
        <v>1088.48</v>
      </c>
      <c r="I281" s="29">
        <f>H281-$J$11</f>
        <v>-215.82999999999993</v>
      </c>
      <c r="J281" s="28">
        <v>264</v>
      </c>
    </row>
    <row r="282" spans="2:10" x14ac:dyDescent="0.25">
      <c r="B282" s="27" t="s">
        <v>128</v>
      </c>
      <c r="C282" s="28" t="s">
        <v>460</v>
      </c>
      <c r="D282" s="28">
        <v>9419</v>
      </c>
      <c r="E282" s="29">
        <v>1085.8399999999999</v>
      </c>
      <c r="F282" s="28">
        <v>265</v>
      </c>
      <c r="G282" s="28">
        <v>9419</v>
      </c>
      <c r="H282" s="29">
        <v>1085.8399999999999</v>
      </c>
      <c r="I282" s="29">
        <f>H282-$J$11</f>
        <v>-218.47000000000003</v>
      </c>
      <c r="J282" s="28">
        <v>265</v>
      </c>
    </row>
    <row r="283" spans="2:10" x14ac:dyDescent="0.25">
      <c r="B283" s="27" t="s">
        <v>685</v>
      </c>
      <c r="C283" s="28" t="s">
        <v>686</v>
      </c>
      <c r="D283" s="28">
        <v>5790</v>
      </c>
      <c r="E283" s="29">
        <v>1083.58</v>
      </c>
      <c r="F283" s="28">
        <v>266</v>
      </c>
      <c r="G283" s="28">
        <v>5790</v>
      </c>
      <c r="H283" s="29">
        <v>1083.58</v>
      </c>
      <c r="I283" s="29">
        <f>H283-$J$11</f>
        <v>-220.73000000000002</v>
      </c>
      <c r="J283" s="28">
        <v>266</v>
      </c>
    </row>
    <row r="284" spans="2:10" x14ac:dyDescent="0.25">
      <c r="B284" s="27" t="s">
        <v>296</v>
      </c>
      <c r="C284" s="28" t="s">
        <v>634</v>
      </c>
      <c r="D284" s="28">
        <v>8021</v>
      </c>
      <c r="E284" s="29">
        <v>1083.53</v>
      </c>
      <c r="F284" s="28">
        <v>267</v>
      </c>
      <c r="G284" s="28">
        <v>8021</v>
      </c>
      <c r="H284" s="29">
        <v>1083.53</v>
      </c>
      <c r="I284" s="29">
        <f>H284-$J$11</f>
        <v>-220.77999999999997</v>
      </c>
      <c r="J284" s="28">
        <v>267</v>
      </c>
    </row>
    <row r="285" spans="2:10" x14ac:dyDescent="0.25">
      <c r="B285" s="27" t="s">
        <v>24</v>
      </c>
      <c r="C285" s="28" t="s">
        <v>352</v>
      </c>
      <c r="D285" s="28">
        <v>6037</v>
      </c>
      <c r="E285" s="29">
        <v>1078.31</v>
      </c>
      <c r="F285" s="28">
        <v>268</v>
      </c>
      <c r="G285" s="28">
        <v>6037</v>
      </c>
      <c r="H285" s="29">
        <v>1078.31</v>
      </c>
      <c r="I285" s="29">
        <f>H285-$J$11</f>
        <v>-226</v>
      </c>
      <c r="J285" s="28">
        <v>268</v>
      </c>
    </row>
    <row r="286" spans="2:10" x14ac:dyDescent="0.25">
      <c r="B286" s="27" t="s">
        <v>221</v>
      </c>
      <c r="C286" s="28" t="s">
        <v>557</v>
      </c>
      <c r="D286" s="28">
        <v>41423</v>
      </c>
      <c r="E286" s="29">
        <v>1075.3399999999999</v>
      </c>
      <c r="F286" s="28">
        <v>269</v>
      </c>
      <c r="G286" s="28">
        <v>41423</v>
      </c>
      <c r="H286" s="29">
        <v>1075.3399999999999</v>
      </c>
      <c r="I286" s="29">
        <f>H286-$J$11</f>
        <v>-228.97000000000003</v>
      </c>
      <c r="J286" s="28">
        <v>269</v>
      </c>
    </row>
    <row r="287" spans="2:10" x14ac:dyDescent="0.25">
      <c r="B287" s="27" t="s">
        <v>332</v>
      </c>
      <c r="C287" s="28" t="s">
        <v>670</v>
      </c>
      <c r="D287" s="28">
        <v>34290</v>
      </c>
      <c r="E287" s="29">
        <v>1059.3900000000001</v>
      </c>
      <c r="F287" s="28">
        <v>270</v>
      </c>
      <c r="G287" s="28">
        <v>34290</v>
      </c>
      <c r="H287" s="30">
        <v>1059.3900000000001</v>
      </c>
      <c r="I287" s="29">
        <f>H287-$J$11</f>
        <v>-244.91999999999985</v>
      </c>
      <c r="J287" s="28">
        <v>270</v>
      </c>
    </row>
    <row r="288" spans="2:10" x14ac:dyDescent="0.25">
      <c r="B288" s="27" t="s">
        <v>35</v>
      </c>
      <c r="C288" s="28" t="s">
        <v>364</v>
      </c>
      <c r="D288" s="28">
        <v>7893</v>
      </c>
      <c r="E288" s="29">
        <v>1052.51</v>
      </c>
      <c r="F288" s="28">
        <v>271</v>
      </c>
      <c r="G288" s="28">
        <v>7893</v>
      </c>
      <c r="H288" s="29">
        <v>1052.51</v>
      </c>
      <c r="I288" s="29">
        <f>H288-$J$11</f>
        <v>-251.79999999999995</v>
      </c>
      <c r="J288" s="28">
        <v>271</v>
      </c>
    </row>
    <row r="289" spans="2:10" x14ac:dyDescent="0.25">
      <c r="B289" s="27" t="s">
        <v>271</v>
      </c>
      <c r="C289" s="28" t="s">
        <v>608</v>
      </c>
      <c r="D289" s="28">
        <v>8932</v>
      </c>
      <c r="E289" s="29">
        <v>1050.4000000000001</v>
      </c>
      <c r="F289" s="28">
        <v>272</v>
      </c>
      <c r="G289" s="28">
        <v>8932</v>
      </c>
      <c r="H289" s="30">
        <v>1050.4000000000001</v>
      </c>
      <c r="I289" s="29">
        <f>H289-$J$11</f>
        <v>-253.90999999999985</v>
      </c>
      <c r="J289" s="28">
        <v>272</v>
      </c>
    </row>
    <row r="290" spans="2:10" x14ac:dyDescent="0.25">
      <c r="B290" s="27" t="s">
        <v>126</v>
      </c>
      <c r="C290" s="28" t="s">
        <v>458</v>
      </c>
      <c r="D290" s="28">
        <v>9778</v>
      </c>
      <c r="E290" s="29">
        <v>1049.43</v>
      </c>
      <c r="F290" s="28">
        <v>273</v>
      </c>
      <c r="G290" s="28">
        <v>9778</v>
      </c>
      <c r="H290" s="29">
        <v>1049.43</v>
      </c>
      <c r="I290" s="29">
        <f>H290-$J$11</f>
        <v>-254.87999999999988</v>
      </c>
      <c r="J290" s="28">
        <v>273</v>
      </c>
    </row>
    <row r="291" spans="2:10" x14ac:dyDescent="0.25">
      <c r="B291" s="27" t="s">
        <v>205</v>
      </c>
      <c r="C291" s="28" t="s">
        <v>539</v>
      </c>
      <c r="D291" s="28">
        <v>25141</v>
      </c>
      <c r="E291" s="29">
        <v>1042.8800000000001</v>
      </c>
      <c r="F291" s="28">
        <v>274</v>
      </c>
      <c r="G291" s="28">
        <v>25141</v>
      </c>
      <c r="H291" s="30">
        <v>1042.8800000000001</v>
      </c>
      <c r="I291" s="29">
        <f>H291-$J$11</f>
        <v>-261.42999999999984</v>
      </c>
      <c r="J291" s="28">
        <v>274</v>
      </c>
    </row>
    <row r="292" spans="2:10" x14ac:dyDescent="0.25">
      <c r="B292" s="27" t="s">
        <v>266</v>
      </c>
      <c r="C292" s="28" t="s">
        <v>603</v>
      </c>
      <c r="D292" s="28">
        <v>9182</v>
      </c>
      <c r="E292" s="29">
        <v>1041.9000000000001</v>
      </c>
      <c r="F292" s="28">
        <v>275</v>
      </c>
      <c r="G292" s="28">
        <v>9182</v>
      </c>
      <c r="H292" s="30">
        <v>1041.9000000000001</v>
      </c>
      <c r="I292" s="29">
        <f>H292-$J$11</f>
        <v>-262.40999999999985</v>
      </c>
      <c r="J292" s="28">
        <v>275</v>
      </c>
    </row>
    <row r="293" spans="2:10" x14ac:dyDescent="0.25">
      <c r="B293" s="27" t="s">
        <v>155</v>
      </c>
      <c r="C293" s="28" t="s">
        <v>488</v>
      </c>
      <c r="D293" s="28">
        <v>10304</v>
      </c>
      <c r="E293" s="29">
        <v>1037.2</v>
      </c>
      <c r="F293" s="28">
        <v>276</v>
      </c>
      <c r="G293" s="28">
        <v>10304</v>
      </c>
      <c r="H293" s="29">
        <v>1037.2</v>
      </c>
      <c r="I293" s="29">
        <f>H293-$J$11</f>
        <v>-267.1099999999999</v>
      </c>
      <c r="J293" s="28">
        <v>276</v>
      </c>
    </row>
    <row r="294" spans="2:10" x14ac:dyDescent="0.25">
      <c r="B294" s="27" t="s">
        <v>114</v>
      </c>
      <c r="C294" s="28" t="s">
        <v>446</v>
      </c>
      <c r="D294" s="28">
        <v>13165</v>
      </c>
      <c r="E294" s="29">
        <v>1035.55</v>
      </c>
      <c r="F294" s="28">
        <v>277</v>
      </c>
      <c r="G294" s="28">
        <v>13165</v>
      </c>
      <c r="H294" s="29">
        <v>1035.55</v>
      </c>
      <c r="I294" s="29">
        <f>H294-$J$11</f>
        <v>-268.76</v>
      </c>
      <c r="J294" s="28">
        <v>277</v>
      </c>
    </row>
    <row r="295" spans="2:10" x14ac:dyDescent="0.25">
      <c r="B295" s="27" t="s">
        <v>237</v>
      </c>
      <c r="C295" s="28" t="s">
        <v>573</v>
      </c>
      <c r="D295" s="28">
        <v>8769</v>
      </c>
      <c r="E295" s="29">
        <v>1018.39</v>
      </c>
      <c r="F295" s="28">
        <v>278</v>
      </c>
      <c r="G295" s="28">
        <v>8769</v>
      </c>
      <c r="H295" s="29">
        <v>1018.39</v>
      </c>
      <c r="I295" s="29">
        <f>H295-$J$11</f>
        <v>-285.91999999999996</v>
      </c>
      <c r="J295" s="28">
        <v>278</v>
      </c>
    </row>
    <row r="296" spans="2:10" x14ac:dyDescent="0.25">
      <c r="B296" s="27" t="s">
        <v>43</v>
      </c>
      <c r="C296" s="28" t="s">
        <v>372</v>
      </c>
      <c r="D296" s="28">
        <v>14745</v>
      </c>
      <c r="E296" s="29">
        <v>1017.11</v>
      </c>
      <c r="F296" s="28">
        <v>279</v>
      </c>
      <c r="G296" s="28">
        <v>14745</v>
      </c>
      <c r="H296" s="29">
        <v>1017.11</v>
      </c>
      <c r="I296" s="29">
        <f>H296-$J$11</f>
        <v>-287.19999999999993</v>
      </c>
      <c r="J296" s="28">
        <v>279</v>
      </c>
    </row>
    <row r="297" spans="2:10" x14ac:dyDescent="0.25">
      <c r="B297" s="27" t="s">
        <v>177</v>
      </c>
      <c r="C297" s="28" t="s">
        <v>510</v>
      </c>
      <c r="D297" s="28">
        <v>14042</v>
      </c>
      <c r="E297" s="29">
        <v>1016.52</v>
      </c>
      <c r="F297" s="28">
        <v>280</v>
      </c>
      <c r="G297" s="28">
        <v>14042</v>
      </c>
      <c r="H297" s="30">
        <v>1016.52</v>
      </c>
      <c r="I297" s="29">
        <f>H297-$J$11</f>
        <v>-287.78999999999996</v>
      </c>
      <c r="J297" s="28">
        <v>280</v>
      </c>
    </row>
    <row r="298" spans="2:10" x14ac:dyDescent="0.25">
      <c r="B298" s="27" t="s">
        <v>309</v>
      </c>
      <c r="C298" s="28" t="s">
        <v>647</v>
      </c>
      <c r="D298" s="28">
        <v>7394</v>
      </c>
      <c r="E298" s="29">
        <v>1013.21</v>
      </c>
      <c r="F298" s="28">
        <v>281</v>
      </c>
      <c r="G298" s="28">
        <v>7394</v>
      </c>
      <c r="H298" s="30">
        <v>1013.21</v>
      </c>
      <c r="I298" s="29">
        <f>H298-$J$11</f>
        <v>-291.09999999999991</v>
      </c>
      <c r="J298" s="28">
        <v>281</v>
      </c>
    </row>
    <row r="299" spans="2:10" x14ac:dyDescent="0.25">
      <c r="B299" s="27" t="s">
        <v>148</v>
      </c>
      <c r="C299" s="28" t="s">
        <v>481</v>
      </c>
      <c r="D299" s="28">
        <v>13117</v>
      </c>
      <c r="E299" s="29">
        <v>1006.93</v>
      </c>
      <c r="F299" s="28">
        <v>282</v>
      </c>
      <c r="G299" s="28">
        <v>13117</v>
      </c>
      <c r="H299" s="29">
        <v>1006.93</v>
      </c>
      <c r="I299" s="29">
        <f>H299-$J$11</f>
        <v>-297.38</v>
      </c>
      <c r="J299" s="28">
        <v>282</v>
      </c>
    </row>
    <row r="300" spans="2:10" x14ac:dyDescent="0.25">
      <c r="B300" s="27" t="s">
        <v>46</v>
      </c>
      <c r="C300" s="28" t="s">
        <v>375</v>
      </c>
      <c r="D300" s="28">
        <v>7197</v>
      </c>
      <c r="E300" s="29">
        <v>1003.98</v>
      </c>
      <c r="F300" s="28">
        <v>283</v>
      </c>
      <c r="G300" s="28">
        <v>7197</v>
      </c>
      <c r="H300" s="29">
        <v>1003.98</v>
      </c>
      <c r="I300" s="29">
        <f>H300-$J$11</f>
        <v>-300.32999999999993</v>
      </c>
      <c r="J300" s="28">
        <v>283</v>
      </c>
    </row>
    <row r="301" spans="2:10" x14ac:dyDescent="0.25">
      <c r="B301" s="27" t="s">
        <v>227</v>
      </c>
      <c r="C301" s="28" t="s">
        <v>563</v>
      </c>
      <c r="D301" s="28">
        <v>20000</v>
      </c>
      <c r="E301" s="29">
        <v>1000</v>
      </c>
      <c r="F301" s="28">
        <v>284</v>
      </c>
      <c r="G301" s="28">
        <v>20000</v>
      </c>
      <c r="H301" s="29">
        <v>1000</v>
      </c>
      <c r="I301" s="29">
        <f>H301-$J$11</f>
        <v>-304.30999999999995</v>
      </c>
      <c r="J301" s="28">
        <v>284</v>
      </c>
    </row>
    <row r="302" spans="2:10" x14ac:dyDescent="0.25">
      <c r="B302" s="27" t="s">
        <v>172</v>
      </c>
      <c r="C302" s="28" t="s">
        <v>505</v>
      </c>
      <c r="D302" s="28">
        <v>16222</v>
      </c>
      <c r="E302" s="29">
        <v>996.28</v>
      </c>
      <c r="F302" s="28">
        <v>285</v>
      </c>
      <c r="G302" s="28">
        <v>16222</v>
      </c>
      <c r="H302" s="29">
        <v>996.28</v>
      </c>
      <c r="I302" s="29">
        <f>H302-$J$11</f>
        <v>-308.02999999999997</v>
      </c>
      <c r="J302" s="28">
        <v>285</v>
      </c>
    </row>
    <row r="303" spans="2:10" x14ac:dyDescent="0.25">
      <c r="B303" s="27" t="s">
        <v>269</v>
      </c>
      <c r="C303" s="28" t="s">
        <v>606</v>
      </c>
      <c r="D303" s="28">
        <v>5603</v>
      </c>
      <c r="E303" s="29">
        <v>992.05</v>
      </c>
      <c r="F303" s="28">
        <v>286</v>
      </c>
      <c r="G303" s="28">
        <v>5603</v>
      </c>
      <c r="H303" s="30">
        <v>992.05</v>
      </c>
      <c r="I303" s="29">
        <f>H303-$J$11</f>
        <v>-312.26</v>
      </c>
      <c r="J303" s="28">
        <v>286</v>
      </c>
    </row>
    <row r="304" spans="2:10" x14ac:dyDescent="0.25">
      <c r="B304" s="27" t="s">
        <v>47</v>
      </c>
      <c r="C304" s="28" t="s">
        <v>376</v>
      </c>
      <c r="D304" s="28">
        <v>53436</v>
      </c>
      <c r="E304" s="29">
        <v>990.83</v>
      </c>
      <c r="F304" s="28">
        <v>287</v>
      </c>
      <c r="G304" s="28">
        <v>53436</v>
      </c>
      <c r="H304" s="29">
        <v>990.83</v>
      </c>
      <c r="I304" s="29">
        <f>H304-$J$11</f>
        <v>-313.4799999999999</v>
      </c>
      <c r="J304" s="28">
        <v>287</v>
      </c>
    </row>
    <row r="305" spans="2:10" x14ac:dyDescent="0.25">
      <c r="B305" s="27" t="s">
        <v>339</v>
      </c>
      <c r="C305" s="28" t="s">
        <v>677</v>
      </c>
      <c r="D305" s="28">
        <v>5113</v>
      </c>
      <c r="E305" s="28">
        <v>975.87</v>
      </c>
      <c r="F305" s="28">
        <v>288</v>
      </c>
      <c r="G305" s="28">
        <v>5113</v>
      </c>
      <c r="H305" s="30">
        <v>975.87</v>
      </c>
      <c r="I305" s="29">
        <f>H305-$J$11</f>
        <v>-328.43999999999994</v>
      </c>
      <c r="J305" s="28">
        <v>288</v>
      </c>
    </row>
    <row r="306" spans="2:10" x14ac:dyDescent="0.25">
      <c r="B306" s="27" t="s">
        <v>328</v>
      </c>
      <c r="C306" s="28" t="s">
        <v>666</v>
      </c>
      <c r="D306" s="28">
        <v>2818</v>
      </c>
      <c r="E306" s="29">
        <v>963.28</v>
      </c>
      <c r="F306" s="28">
        <v>289</v>
      </c>
      <c r="G306" s="28">
        <v>2818</v>
      </c>
      <c r="H306" s="30">
        <v>963.28</v>
      </c>
      <c r="I306" s="29">
        <f>H306-$J$11</f>
        <v>-341.03</v>
      </c>
      <c r="J306" s="28">
        <v>289</v>
      </c>
    </row>
    <row r="307" spans="2:10" x14ac:dyDescent="0.25">
      <c r="B307" s="27" t="s">
        <v>307</v>
      </c>
      <c r="C307" s="28" t="s">
        <v>645</v>
      </c>
      <c r="D307" s="28">
        <v>4320</v>
      </c>
      <c r="E307" s="29">
        <v>962.2</v>
      </c>
      <c r="F307" s="28">
        <v>290</v>
      </c>
      <c r="G307" s="28">
        <v>4320</v>
      </c>
      <c r="H307" s="30">
        <v>962.2</v>
      </c>
      <c r="I307" s="29">
        <f>H307-$J$11</f>
        <v>-342.1099999999999</v>
      </c>
      <c r="J307" s="28">
        <v>290</v>
      </c>
    </row>
    <row r="308" spans="2:10" x14ac:dyDescent="0.25">
      <c r="B308" s="27" t="s">
        <v>74</v>
      </c>
      <c r="C308" s="28" t="s">
        <v>405</v>
      </c>
      <c r="D308" s="28">
        <v>5728</v>
      </c>
      <c r="E308" s="29">
        <v>957.8</v>
      </c>
      <c r="F308" s="28">
        <v>291</v>
      </c>
      <c r="G308" s="28">
        <v>5728</v>
      </c>
      <c r="H308" s="29">
        <v>957.8</v>
      </c>
      <c r="I308" s="29">
        <f>H308-$J$11</f>
        <v>-346.51</v>
      </c>
      <c r="J308" s="28">
        <v>291</v>
      </c>
    </row>
    <row r="309" spans="2:10" x14ac:dyDescent="0.25">
      <c r="B309" s="27" t="s">
        <v>29</v>
      </c>
      <c r="C309" s="28" t="s">
        <v>358</v>
      </c>
      <c r="D309" s="28">
        <v>1904</v>
      </c>
      <c r="E309" s="29">
        <v>944.46</v>
      </c>
      <c r="F309" s="28">
        <v>292</v>
      </c>
      <c r="G309" s="28">
        <v>1904</v>
      </c>
      <c r="H309" s="29">
        <v>944.46</v>
      </c>
      <c r="I309" s="29">
        <f>H309-$J$11</f>
        <v>-359.84999999999991</v>
      </c>
      <c r="J309" s="28">
        <v>292</v>
      </c>
    </row>
    <row r="310" spans="2:10" x14ac:dyDescent="0.25">
      <c r="B310" s="27" t="s">
        <v>277</v>
      </c>
      <c r="C310" s="28" t="s">
        <v>614</v>
      </c>
      <c r="D310" s="28">
        <v>3035</v>
      </c>
      <c r="E310" s="29">
        <v>937.03</v>
      </c>
      <c r="F310" s="28">
        <v>293</v>
      </c>
      <c r="G310" s="28">
        <v>3035</v>
      </c>
      <c r="H310" s="29">
        <v>937.03</v>
      </c>
      <c r="I310" s="29">
        <f>H310-$J$11</f>
        <v>-367.28</v>
      </c>
      <c r="J310" s="28">
        <v>293</v>
      </c>
    </row>
    <row r="311" spans="2:10" x14ac:dyDescent="0.25">
      <c r="B311" s="27" t="s">
        <v>325</v>
      </c>
      <c r="C311" s="28" t="s">
        <v>663</v>
      </c>
      <c r="D311" s="28">
        <v>7040</v>
      </c>
      <c r="E311" s="29">
        <v>934.86</v>
      </c>
      <c r="F311" s="28">
        <v>294</v>
      </c>
      <c r="G311" s="28">
        <v>7040</v>
      </c>
      <c r="H311" s="30">
        <v>934.86</v>
      </c>
      <c r="I311" s="29">
        <f>H311-$J$11</f>
        <v>-369.44999999999993</v>
      </c>
      <c r="J311" s="28">
        <v>294</v>
      </c>
    </row>
    <row r="312" spans="2:10" x14ac:dyDescent="0.25">
      <c r="B312" s="27" t="s">
        <v>65</v>
      </c>
      <c r="C312" s="28" t="s">
        <v>396</v>
      </c>
      <c r="D312" s="28">
        <v>10986</v>
      </c>
      <c r="E312" s="29">
        <v>932.06</v>
      </c>
      <c r="F312" s="28">
        <v>295</v>
      </c>
      <c r="G312" s="28">
        <v>10986</v>
      </c>
      <c r="H312" s="29">
        <v>932.06</v>
      </c>
      <c r="I312" s="29">
        <f>H312-$J$11</f>
        <v>-372.25</v>
      </c>
      <c r="J312" s="28">
        <v>295</v>
      </c>
    </row>
    <row r="313" spans="2:10" x14ac:dyDescent="0.25">
      <c r="B313" s="27" t="s">
        <v>177</v>
      </c>
      <c r="C313" s="28" t="s">
        <v>511</v>
      </c>
      <c r="D313" s="28">
        <v>7200</v>
      </c>
      <c r="E313" s="29">
        <v>920</v>
      </c>
      <c r="F313" s="28">
        <v>296</v>
      </c>
      <c r="G313" s="28">
        <v>7200</v>
      </c>
      <c r="H313" s="29">
        <v>920</v>
      </c>
      <c r="I313" s="29">
        <f>H313-$J$11</f>
        <v>-384.30999999999995</v>
      </c>
      <c r="J313" s="28">
        <v>296</v>
      </c>
    </row>
    <row r="314" spans="2:10" x14ac:dyDescent="0.25">
      <c r="B314" s="27" t="s">
        <v>682</v>
      </c>
      <c r="C314" s="28" t="s">
        <v>386</v>
      </c>
      <c r="D314" s="28">
        <v>13287</v>
      </c>
      <c r="E314" s="29">
        <v>907.53</v>
      </c>
      <c r="F314" s="28">
        <v>297</v>
      </c>
      <c r="G314" s="28">
        <v>13287</v>
      </c>
      <c r="H314" s="29">
        <v>907.53</v>
      </c>
      <c r="I314" s="29">
        <f>H314-$J$11</f>
        <v>-396.78</v>
      </c>
      <c r="J314" s="28">
        <v>297</v>
      </c>
    </row>
    <row r="315" spans="2:10" x14ac:dyDescent="0.25">
      <c r="B315" s="27" t="s">
        <v>151</v>
      </c>
      <c r="C315" s="28" t="s">
        <v>484</v>
      </c>
      <c r="D315" s="28">
        <v>5561</v>
      </c>
      <c r="E315" s="29">
        <v>907.11</v>
      </c>
      <c r="F315" s="28">
        <v>298</v>
      </c>
      <c r="G315" s="28">
        <v>5561</v>
      </c>
      <c r="H315" s="29">
        <v>907.11</v>
      </c>
      <c r="I315" s="29">
        <f>H315-$J$11</f>
        <v>-397.19999999999993</v>
      </c>
      <c r="J315" s="28">
        <v>298</v>
      </c>
    </row>
    <row r="316" spans="2:10" x14ac:dyDescent="0.25">
      <c r="B316" s="27" t="s">
        <v>224</v>
      </c>
      <c r="C316" s="28" t="s">
        <v>560</v>
      </c>
      <c r="D316" s="28">
        <v>4118</v>
      </c>
      <c r="E316" s="29">
        <v>896.77</v>
      </c>
      <c r="F316" s="28">
        <v>299</v>
      </c>
      <c r="G316" s="28">
        <v>4118</v>
      </c>
      <c r="H316" s="29">
        <v>896.77</v>
      </c>
      <c r="I316" s="29">
        <f>H316-$J$11</f>
        <v>-407.53999999999996</v>
      </c>
      <c r="J316" s="28">
        <v>299</v>
      </c>
    </row>
    <row r="317" spans="2:10" x14ac:dyDescent="0.25">
      <c r="B317" s="27" t="s">
        <v>256</v>
      </c>
      <c r="C317" s="28" t="s">
        <v>593</v>
      </c>
      <c r="D317" s="28">
        <v>7529</v>
      </c>
      <c r="E317" s="29">
        <v>889.24</v>
      </c>
      <c r="F317" s="28">
        <v>300</v>
      </c>
      <c r="G317" s="28">
        <v>7529</v>
      </c>
      <c r="H317" s="29">
        <v>889.24</v>
      </c>
      <c r="I317" s="29">
        <f>H317-$J$11</f>
        <v>-415.06999999999994</v>
      </c>
      <c r="J317" s="28">
        <v>300</v>
      </c>
    </row>
    <row r="318" spans="2:10" x14ac:dyDescent="0.25">
      <c r="B318" s="27" t="s">
        <v>210</v>
      </c>
      <c r="C318" s="28" t="s">
        <v>544</v>
      </c>
      <c r="D318" s="28">
        <v>2980</v>
      </c>
      <c r="E318" s="29">
        <v>887.89</v>
      </c>
      <c r="F318" s="28">
        <v>301</v>
      </c>
      <c r="G318" s="28">
        <v>2980</v>
      </c>
      <c r="H318" s="29">
        <v>887.89</v>
      </c>
      <c r="I318" s="29">
        <f>H318-$J$11</f>
        <v>-416.41999999999996</v>
      </c>
      <c r="J318" s="28">
        <v>301</v>
      </c>
    </row>
    <row r="319" spans="2:10" x14ac:dyDescent="0.25">
      <c r="B319" s="27" t="s">
        <v>226</v>
      </c>
      <c r="C319" s="28" t="s">
        <v>562</v>
      </c>
      <c r="D319" s="28">
        <v>1945</v>
      </c>
      <c r="E319" s="29">
        <v>879.5</v>
      </c>
      <c r="F319" s="28">
        <v>302</v>
      </c>
      <c r="G319" s="28">
        <v>1945</v>
      </c>
      <c r="H319" s="29">
        <v>879.5</v>
      </c>
      <c r="I319" s="29">
        <f>H319-$J$11</f>
        <v>-424.80999999999995</v>
      </c>
      <c r="J319" s="28">
        <v>302</v>
      </c>
    </row>
    <row r="320" spans="2:10" x14ac:dyDescent="0.25">
      <c r="B320" s="27" t="s">
        <v>115</v>
      </c>
      <c r="C320" s="28" t="s">
        <v>447</v>
      </c>
      <c r="D320" s="28">
        <v>4763</v>
      </c>
      <c r="E320" s="29">
        <v>877.99</v>
      </c>
      <c r="F320" s="28">
        <v>303</v>
      </c>
      <c r="G320" s="28">
        <v>4763</v>
      </c>
      <c r="H320" s="30">
        <v>877.99</v>
      </c>
      <c r="I320" s="29">
        <f>H320-$J$11</f>
        <v>-426.31999999999994</v>
      </c>
      <c r="J320" s="28">
        <v>303</v>
      </c>
    </row>
    <row r="321" spans="2:10" x14ac:dyDescent="0.25">
      <c r="B321" s="27" t="s">
        <v>61</v>
      </c>
      <c r="C321" s="28" t="s">
        <v>392</v>
      </c>
      <c r="D321" s="28">
        <v>1887</v>
      </c>
      <c r="E321" s="29">
        <v>872.59</v>
      </c>
      <c r="F321" s="28">
        <v>304</v>
      </c>
      <c r="G321" s="28">
        <v>1887</v>
      </c>
      <c r="H321" s="29">
        <v>872.59</v>
      </c>
      <c r="I321" s="29">
        <f>H321-$J$11</f>
        <v>-431.71999999999991</v>
      </c>
      <c r="J321" s="28">
        <v>304</v>
      </c>
    </row>
    <row r="322" spans="2:10" x14ac:dyDescent="0.25">
      <c r="B322" s="27" t="s">
        <v>245</v>
      </c>
      <c r="C322" s="28" t="s">
        <v>581</v>
      </c>
      <c r="D322" s="28">
        <v>6310</v>
      </c>
      <c r="E322" s="29">
        <v>862.36</v>
      </c>
      <c r="F322" s="28">
        <v>305</v>
      </c>
      <c r="G322" s="28">
        <v>6310</v>
      </c>
      <c r="H322" s="29">
        <v>862.36</v>
      </c>
      <c r="I322" s="29">
        <f>H322-$J$11</f>
        <v>-441.94999999999993</v>
      </c>
      <c r="J322" s="28">
        <v>305</v>
      </c>
    </row>
    <row r="323" spans="2:10" x14ac:dyDescent="0.25">
      <c r="B323" s="27" t="s">
        <v>54</v>
      </c>
      <c r="C323" s="28" t="s">
        <v>384</v>
      </c>
      <c r="D323" s="28">
        <v>5059</v>
      </c>
      <c r="E323" s="29">
        <v>854.06</v>
      </c>
      <c r="F323" s="28">
        <v>306</v>
      </c>
      <c r="G323" s="28">
        <v>5059</v>
      </c>
      <c r="H323" s="29">
        <v>854.06</v>
      </c>
      <c r="I323" s="29">
        <f>H323-$J$11</f>
        <v>-450.25</v>
      </c>
      <c r="J323" s="28">
        <v>306</v>
      </c>
    </row>
    <row r="324" spans="2:10" x14ac:dyDescent="0.25">
      <c r="B324" s="27" t="s">
        <v>56</v>
      </c>
      <c r="C324" s="28" t="s">
        <v>387</v>
      </c>
      <c r="D324" s="28">
        <v>5894</v>
      </c>
      <c r="E324" s="29">
        <v>816.32</v>
      </c>
      <c r="F324" s="28">
        <v>307</v>
      </c>
      <c r="G324" s="28">
        <v>5894</v>
      </c>
      <c r="H324" s="29">
        <v>816.32</v>
      </c>
      <c r="I324" s="29">
        <f>H324-$J$11</f>
        <v>-487.9899999999999</v>
      </c>
      <c r="J324" s="28">
        <v>307</v>
      </c>
    </row>
    <row r="325" spans="2:10" x14ac:dyDescent="0.25">
      <c r="B325" s="27" t="s">
        <v>211</v>
      </c>
      <c r="C325" s="28" t="s">
        <v>545</v>
      </c>
      <c r="D325" s="28">
        <v>11318</v>
      </c>
      <c r="E325" s="29">
        <v>783.03</v>
      </c>
      <c r="F325" s="28">
        <v>308</v>
      </c>
      <c r="G325" s="28">
        <v>11318</v>
      </c>
      <c r="H325" s="29">
        <v>783.03</v>
      </c>
      <c r="I325" s="29">
        <f>H325-$J$11</f>
        <v>-521.28</v>
      </c>
      <c r="J325" s="28">
        <v>308</v>
      </c>
    </row>
    <row r="326" spans="2:10" x14ac:dyDescent="0.25">
      <c r="B326" s="27" t="s">
        <v>340</v>
      </c>
      <c r="C326" s="28" t="s">
        <v>356</v>
      </c>
      <c r="D326" s="28">
        <v>4569</v>
      </c>
      <c r="E326" s="29">
        <v>720.57</v>
      </c>
      <c r="F326" s="28">
        <v>309</v>
      </c>
      <c r="G326" s="28">
        <v>4569</v>
      </c>
      <c r="H326" s="29">
        <v>720.57</v>
      </c>
      <c r="I326" s="29">
        <f>H326-$J$11</f>
        <v>-583.7399999999999</v>
      </c>
      <c r="J326" s="28">
        <v>309</v>
      </c>
    </row>
    <row r="327" spans="2:10" x14ac:dyDescent="0.25">
      <c r="B327" s="27" t="s">
        <v>135</v>
      </c>
      <c r="C327" s="28" t="s">
        <v>467</v>
      </c>
      <c r="D327" s="28">
        <v>9240</v>
      </c>
      <c r="E327" s="29">
        <v>711.69</v>
      </c>
      <c r="F327" s="28">
        <v>310</v>
      </c>
      <c r="G327" s="28">
        <v>9240</v>
      </c>
      <c r="H327" s="29">
        <v>711.69</v>
      </c>
      <c r="I327" s="29">
        <f>H327-$J$11</f>
        <v>-592.61999999999989</v>
      </c>
      <c r="J327" s="28">
        <v>310</v>
      </c>
    </row>
    <row r="328" spans="2:10" x14ac:dyDescent="0.25">
      <c r="B328" s="27" t="s">
        <v>49</v>
      </c>
      <c r="C328" s="28" t="s">
        <v>378</v>
      </c>
      <c r="D328" s="28">
        <v>16972</v>
      </c>
      <c r="E328" s="29">
        <v>709.07</v>
      </c>
      <c r="F328" s="28">
        <v>311</v>
      </c>
      <c r="G328" s="28">
        <v>16972</v>
      </c>
      <c r="H328" s="29">
        <v>709.07</v>
      </c>
      <c r="I328" s="29">
        <f>H328-$J$11</f>
        <v>-595.2399999999999</v>
      </c>
      <c r="J328" s="28">
        <v>311</v>
      </c>
    </row>
    <row r="329" spans="2:10" x14ac:dyDescent="0.25">
      <c r="B329" s="27" t="s">
        <v>343</v>
      </c>
      <c r="C329" s="28" t="s">
        <v>583</v>
      </c>
      <c r="D329" s="28">
        <v>2100</v>
      </c>
      <c r="E329" s="29">
        <v>695.62</v>
      </c>
      <c r="F329" s="28">
        <v>312</v>
      </c>
      <c r="G329" s="28">
        <v>2100</v>
      </c>
      <c r="H329" s="30">
        <v>695.62</v>
      </c>
      <c r="I329" s="29">
        <f>H329-$J$11</f>
        <v>-608.68999999999994</v>
      </c>
      <c r="J329" s="28">
        <v>312</v>
      </c>
    </row>
    <row r="330" spans="2:10" x14ac:dyDescent="0.25">
      <c r="B330" s="27" t="s">
        <v>316</v>
      </c>
      <c r="C330" s="28" t="s">
        <v>654</v>
      </c>
      <c r="D330" s="28">
        <v>3527</v>
      </c>
      <c r="E330" s="29">
        <v>687.19</v>
      </c>
      <c r="F330" s="28">
        <v>313</v>
      </c>
      <c r="G330" s="28">
        <v>3527</v>
      </c>
      <c r="H330" s="30">
        <v>687.19</v>
      </c>
      <c r="I330" s="29">
        <f>H330-$J$11</f>
        <v>-617.11999999999989</v>
      </c>
      <c r="J330" s="28">
        <v>313</v>
      </c>
    </row>
    <row r="331" spans="2:10" x14ac:dyDescent="0.25">
      <c r="B331" s="27" t="s">
        <v>108</v>
      </c>
      <c r="C331" s="28" t="s">
        <v>440</v>
      </c>
      <c r="D331" s="28">
        <v>16117</v>
      </c>
      <c r="E331" s="29">
        <v>680.88</v>
      </c>
      <c r="F331" s="28">
        <v>314</v>
      </c>
      <c r="G331" s="28">
        <v>16117</v>
      </c>
      <c r="H331" s="29">
        <v>680.88</v>
      </c>
      <c r="I331" s="29">
        <f>H331-$J$11</f>
        <v>-623.42999999999995</v>
      </c>
      <c r="J331" s="28">
        <v>314</v>
      </c>
    </row>
    <row r="332" spans="2:10" x14ac:dyDescent="0.25">
      <c r="B332" s="27" t="s">
        <v>125</v>
      </c>
      <c r="C332" s="28" t="s">
        <v>457</v>
      </c>
      <c r="D332" s="28">
        <v>5000</v>
      </c>
      <c r="E332" s="29">
        <v>680</v>
      </c>
      <c r="F332" s="28">
        <v>315</v>
      </c>
      <c r="G332" s="28">
        <v>5000</v>
      </c>
      <c r="H332" s="29">
        <v>680</v>
      </c>
      <c r="I332" s="29">
        <f>H332-$J$11</f>
        <v>-624.30999999999995</v>
      </c>
      <c r="J332" s="28">
        <v>315</v>
      </c>
    </row>
    <row r="333" spans="2:10" x14ac:dyDescent="0.25">
      <c r="B333" s="27" t="s">
        <v>174</v>
      </c>
      <c r="C333" s="28" t="s">
        <v>507</v>
      </c>
      <c r="D333" s="28">
        <v>6000</v>
      </c>
      <c r="E333" s="29">
        <v>680</v>
      </c>
      <c r="F333" s="28">
        <v>315</v>
      </c>
      <c r="G333" s="28">
        <v>6000</v>
      </c>
      <c r="H333" s="29">
        <v>680</v>
      </c>
      <c r="I333" s="29">
        <f>H333-$J$11</f>
        <v>-624.30999999999995</v>
      </c>
      <c r="J333" s="28">
        <v>315</v>
      </c>
    </row>
    <row r="334" spans="2:10" x14ac:dyDescent="0.25">
      <c r="B334" s="27" t="s">
        <v>187</v>
      </c>
      <c r="C334" s="28" t="s">
        <v>521</v>
      </c>
      <c r="D334" s="28">
        <v>12000</v>
      </c>
      <c r="E334" s="29">
        <v>680</v>
      </c>
      <c r="F334" s="28">
        <v>315</v>
      </c>
      <c r="G334" s="28">
        <v>12000</v>
      </c>
      <c r="H334" s="29">
        <v>680</v>
      </c>
      <c r="I334" s="29">
        <f>H334-$J$11</f>
        <v>-624.30999999999995</v>
      </c>
      <c r="J334" s="28">
        <v>315</v>
      </c>
    </row>
    <row r="335" spans="2:10" x14ac:dyDescent="0.25">
      <c r="B335" s="27" t="s">
        <v>25</v>
      </c>
      <c r="C335" s="28" t="s">
        <v>353</v>
      </c>
      <c r="D335" s="28">
        <v>13753</v>
      </c>
      <c r="E335" s="29">
        <v>675.49</v>
      </c>
      <c r="F335" s="28">
        <v>318</v>
      </c>
      <c r="G335" s="28">
        <v>13753</v>
      </c>
      <c r="H335" s="29">
        <v>675.49</v>
      </c>
      <c r="I335" s="29">
        <f>H335-$J$11</f>
        <v>-628.81999999999994</v>
      </c>
      <c r="J335" s="28">
        <v>318</v>
      </c>
    </row>
    <row r="336" spans="2:10" x14ac:dyDescent="0.25">
      <c r="B336" s="27" t="s">
        <v>281</v>
      </c>
      <c r="C336" s="28" t="s">
        <v>618</v>
      </c>
      <c r="D336" s="28">
        <v>4607</v>
      </c>
      <c r="E336" s="29">
        <v>670.28</v>
      </c>
      <c r="F336" s="28">
        <v>319</v>
      </c>
      <c r="G336" s="28">
        <v>4607</v>
      </c>
      <c r="H336" s="30">
        <v>670.28</v>
      </c>
      <c r="I336" s="29">
        <f>H336-$J$11</f>
        <v>-634.03</v>
      </c>
      <c r="J336" s="28">
        <v>319</v>
      </c>
    </row>
    <row r="337" spans="2:10" x14ac:dyDescent="0.25">
      <c r="B337" s="27" t="s">
        <v>95</v>
      </c>
      <c r="C337" s="28" t="s">
        <v>427</v>
      </c>
      <c r="D337" s="28">
        <v>2491</v>
      </c>
      <c r="E337" s="29">
        <v>666.86</v>
      </c>
      <c r="F337" s="28">
        <v>320</v>
      </c>
      <c r="G337" s="28">
        <v>2491</v>
      </c>
      <c r="H337" s="29">
        <v>666.86</v>
      </c>
      <c r="I337" s="29">
        <f>H337-$J$11</f>
        <v>-637.44999999999993</v>
      </c>
      <c r="J337" s="28">
        <v>320</v>
      </c>
    </row>
    <row r="338" spans="2:10" x14ac:dyDescent="0.25">
      <c r="B338" s="27" t="s">
        <v>130</v>
      </c>
      <c r="C338" s="28" t="s">
        <v>462</v>
      </c>
      <c r="D338" s="28">
        <v>2340</v>
      </c>
      <c r="E338" s="29">
        <v>657.09</v>
      </c>
      <c r="F338" s="28">
        <v>321</v>
      </c>
      <c r="G338" s="28">
        <v>2340</v>
      </c>
      <c r="H338" s="30">
        <v>657.09</v>
      </c>
      <c r="I338" s="29">
        <f>H338-$J$11</f>
        <v>-647.21999999999991</v>
      </c>
      <c r="J338" s="28">
        <v>321</v>
      </c>
    </row>
    <row r="339" spans="2:10" x14ac:dyDescent="0.25">
      <c r="B339" s="27" t="s">
        <v>194</v>
      </c>
      <c r="C339" s="28" t="s">
        <v>528</v>
      </c>
      <c r="D339" s="28">
        <v>494</v>
      </c>
      <c r="E339" s="29">
        <v>650</v>
      </c>
      <c r="F339" s="28">
        <v>322</v>
      </c>
      <c r="G339" s="28">
        <v>494</v>
      </c>
      <c r="H339" s="29">
        <v>650</v>
      </c>
      <c r="I339" s="29">
        <f>H339-$J$11</f>
        <v>-654.30999999999995</v>
      </c>
      <c r="J339" s="28">
        <v>322</v>
      </c>
    </row>
    <row r="340" spans="2:10" x14ac:dyDescent="0.25">
      <c r="B340" s="27" t="s">
        <v>96</v>
      </c>
      <c r="C340" s="28" t="s">
        <v>428</v>
      </c>
      <c r="D340" s="28">
        <v>4930</v>
      </c>
      <c r="E340" s="29">
        <v>648.88</v>
      </c>
      <c r="F340" s="28">
        <v>323</v>
      </c>
      <c r="G340" s="28">
        <v>4930</v>
      </c>
      <c r="H340" s="29">
        <v>648.88</v>
      </c>
      <c r="I340" s="29">
        <f>H340-$J$11</f>
        <v>-655.43</v>
      </c>
      <c r="J340" s="28">
        <v>323</v>
      </c>
    </row>
    <row r="341" spans="2:10" x14ac:dyDescent="0.25">
      <c r="B341" s="27" t="s">
        <v>109</v>
      </c>
      <c r="C341" s="28" t="s">
        <v>441</v>
      </c>
      <c r="D341" s="28">
        <v>3188</v>
      </c>
      <c r="E341" s="29">
        <v>630.32000000000005</v>
      </c>
      <c r="F341" s="28">
        <v>324</v>
      </c>
      <c r="G341" s="28">
        <v>3188</v>
      </c>
      <c r="H341" s="29">
        <v>630.32000000000005</v>
      </c>
      <c r="I341" s="29">
        <f>H341-$J$11</f>
        <v>-673.9899999999999</v>
      </c>
      <c r="J341" s="28">
        <v>324</v>
      </c>
    </row>
    <row r="342" spans="2:10" x14ac:dyDescent="0.25">
      <c r="B342" s="27" t="s">
        <v>236</v>
      </c>
      <c r="C342" s="28" t="s">
        <v>572</v>
      </c>
      <c r="D342" s="28">
        <v>5341</v>
      </c>
      <c r="E342" s="29">
        <v>613.01</v>
      </c>
      <c r="F342" s="28">
        <v>325</v>
      </c>
      <c r="G342" s="28">
        <v>5341</v>
      </c>
      <c r="H342" s="29">
        <v>613.01</v>
      </c>
      <c r="I342" s="29">
        <f>H342-$J$11</f>
        <v>-691.3</v>
      </c>
      <c r="J342" s="28">
        <v>325</v>
      </c>
    </row>
    <row r="343" spans="2:10" x14ac:dyDescent="0.25">
      <c r="B343" s="27" t="s">
        <v>326</v>
      </c>
      <c r="C343" s="28" t="s">
        <v>664</v>
      </c>
      <c r="D343" s="28">
        <v>2040</v>
      </c>
      <c r="E343" s="29">
        <v>607.5</v>
      </c>
      <c r="F343" s="28">
        <v>326</v>
      </c>
      <c r="G343" s="28">
        <v>2040</v>
      </c>
      <c r="H343" s="30">
        <v>607.5</v>
      </c>
      <c r="I343" s="29">
        <f>H343-$J$11</f>
        <v>-696.81</v>
      </c>
      <c r="J343" s="28">
        <v>326</v>
      </c>
    </row>
    <row r="344" spans="2:10" x14ac:dyDescent="0.25">
      <c r="B344" s="27" t="s">
        <v>286</v>
      </c>
      <c r="C344" s="28" t="s">
        <v>623</v>
      </c>
      <c r="D344" s="28">
        <v>657</v>
      </c>
      <c r="E344" s="29">
        <v>590</v>
      </c>
      <c r="F344" s="28">
        <v>327</v>
      </c>
      <c r="G344" s="28">
        <v>657</v>
      </c>
      <c r="H344" s="29">
        <v>590</v>
      </c>
      <c r="I344" s="29">
        <f>H344-$J$11</f>
        <v>-714.31</v>
      </c>
      <c r="J344" s="28">
        <v>327</v>
      </c>
    </row>
    <row r="345" spans="2:10" x14ac:dyDescent="0.25">
      <c r="B345" s="27" t="s">
        <v>124</v>
      </c>
      <c r="C345" s="28" t="s">
        <v>456</v>
      </c>
      <c r="D345" s="28">
        <v>4170</v>
      </c>
      <c r="E345" s="29">
        <v>576.79</v>
      </c>
      <c r="F345" s="28">
        <v>328</v>
      </c>
      <c r="G345" s="28">
        <v>4170</v>
      </c>
      <c r="H345" s="29">
        <v>576.79</v>
      </c>
      <c r="I345" s="29">
        <f>H345-$J$11</f>
        <v>-727.52</v>
      </c>
      <c r="J345" s="28">
        <v>328</v>
      </c>
    </row>
    <row r="346" spans="2:10" x14ac:dyDescent="0.25">
      <c r="B346" s="27" t="s">
        <v>267</v>
      </c>
      <c r="C346" s="28" t="s">
        <v>604</v>
      </c>
      <c r="D346" s="28">
        <v>2394</v>
      </c>
      <c r="E346" s="29">
        <v>558.91</v>
      </c>
      <c r="F346" s="28">
        <v>329</v>
      </c>
      <c r="G346" s="28">
        <v>2394</v>
      </c>
      <c r="H346" s="29">
        <v>558.91</v>
      </c>
      <c r="I346" s="29">
        <f>H346-$J$11</f>
        <v>-745.4</v>
      </c>
      <c r="J346" s="28">
        <v>329</v>
      </c>
    </row>
    <row r="347" spans="2:10" x14ac:dyDescent="0.25">
      <c r="B347" s="27" t="s">
        <v>689</v>
      </c>
      <c r="C347" s="28" t="s">
        <v>690</v>
      </c>
      <c r="D347" s="28">
        <v>1519</v>
      </c>
      <c r="E347" s="29">
        <v>557.17999999999995</v>
      </c>
      <c r="F347" s="28">
        <v>330</v>
      </c>
      <c r="G347" s="28">
        <v>1519</v>
      </c>
      <c r="H347" s="30">
        <v>557.17999999999995</v>
      </c>
      <c r="I347" s="29">
        <f>H347-$J$11</f>
        <v>-747.13</v>
      </c>
      <c r="J347" s="28">
        <v>330</v>
      </c>
    </row>
    <row r="348" spans="2:10" x14ac:dyDescent="0.25">
      <c r="B348" s="27" t="s">
        <v>241</v>
      </c>
      <c r="C348" s="28" t="s">
        <v>577</v>
      </c>
      <c r="D348" s="28">
        <v>1570</v>
      </c>
      <c r="E348" s="29">
        <v>550</v>
      </c>
      <c r="F348" s="28">
        <v>331</v>
      </c>
      <c r="G348" s="28">
        <v>1570</v>
      </c>
      <c r="H348" s="29">
        <v>550</v>
      </c>
      <c r="I348" s="29">
        <f>H348-$J$11</f>
        <v>-754.31</v>
      </c>
      <c r="J348" s="28">
        <v>331</v>
      </c>
    </row>
    <row r="349" spans="2:10" x14ac:dyDescent="0.25">
      <c r="B349" s="27" t="s">
        <v>90</v>
      </c>
      <c r="C349" s="28" t="s">
        <v>422</v>
      </c>
      <c r="D349" s="28">
        <v>1821</v>
      </c>
      <c r="E349" s="29">
        <v>544.03</v>
      </c>
      <c r="F349" s="28">
        <v>332</v>
      </c>
      <c r="G349" s="28">
        <v>1821</v>
      </c>
      <c r="H349" s="29">
        <v>544.03</v>
      </c>
      <c r="I349" s="29">
        <f>H349-$J$11</f>
        <v>-760.28</v>
      </c>
      <c r="J349" s="28">
        <v>332</v>
      </c>
    </row>
    <row r="350" spans="2:10" x14ac:dyDescent="0.25">
      <c r="B350" s="27" t="s">
        <v>28</v>
      </c>
      <c r="C350" s="28" t="s">
        <v>357</v>
      </c>
      <c r="D350" s="28">
        <v>3447</v>
      </c>
      <c r="E350" s="29">
        <v>531.91</v>
      </c>
      <c r="F350" s="28">
        <v>333</v>
      </c>
      <c r="G350" s="28">
        <v>3447</v>
      </c>
      <c r="H350" s="29">
        <v>531.91</v>
      </c>
      <c r="I350" s="29">
        <f>H350-$J$11</f>
        <v>-772.4</v>
      </c>
      <c r="J350" s="28">
        <v>333</v>
      </c>
    </row>
    <row r="351" spans="2:10" x14ac:dyDescent="0.25">
      <c r="B351" s="27" t="s">
        <v>138</v>
      </c>
      <c r="C351" s="28" t="s">
        <v>470</v>
      </c>
      <c r="D351" s="28">
        <v>5107</v>
      </c>
      <c r="E351" s="29">
        <v>530.61</v>
      </c>
      <c r="F351" s="28">
        <v>334</v>
      </c>
      <c r="G351" s="28">
        <v>5107</v>
      </c>
      <c r="H351" s="29">
        <v>530.61</v>
      </c>
      <c r="I351" s="29">
        <f>H351-$J$11</f>
        <v>-773.69999999999993</v>
      </c>
      <c r="J351" s="28">
        <v>334</v>
      </c>
    </row>
    <row r="352" spans="2:10" x14ac:dyDescent="0.25">
      <c r="B352" s="27" t="s">
        <v>270</v>
      </c>
      <c r="C352" s="28" t="s">
        <v>607</v>
      </c>
      <c r="D352" s="28">
        <v>1946</v>
      </c>
      <c r="E352" s="29">
        <v>491.62</v>
      </c>
      <c r="F352" s="28">
        <v>335</v>
      </c>
      <c r="G352" s="28">
        <v>1946</v>
      </c>
      <c r="H352" s="29">
        <v>491.62</v>
      </c>
      <c r="I352" s="29">
        <f>H352-$J$11</f>
        <v>-812.68999999999994</v>
      </c>
      <c r="J352" s="28">
        <v>335</v>
      </c>
    </row>
    <row r="353" spans="2:10" x14ac:dyDescent="0.25">
      <c r="B353" s="27" t="s">
        <v>314</v>
      </c>
      <c r="C353" s="28" t="s">
        <v>652</v>
      </c>
      <c r="D353" s="28">
        <v>254</v>
      </c>
      <c r="E353" s="29">
        <v>480</v>
      </c>
      <c r="F353" s="28">
        <v>336</v>
      </c>
      <c r="G353" s="28">
        <v>254</v>
      </c>
      <c r="H353" s="30">
        <v>480</v>
      </c>
      <c r="I353" s="29">
        <f>H353-$J$11</f>
        <v>-824.31</v>
      </c>
      <c r="J353" s="28">
        <v>336</v>
      </c>
    </row>
    <row r="354" spans="2:10" x14ac:dyDescent="0.25">
      <c r="B354" s="27" t="s">
        <v>44</v>
      </c>
      <c r="C354" s="28" t="s">
        <v>373</v>
      </c>
      <c r="D354" s="28">
        <v>1900</v>
      </c>
      <c r="E354" s="29">
        <v>471.05</v>
      </c>
      <c r="F354" s="28">
        <v>337</v>
      </c>
      <c r="G354" s="28">
        <v>1900</v>
      </c>
      <c r="H354" s="29">
        <v>471.05</v>
      </c>
      <c r="I354" s="29">
        <f>H354-$J$11</f>
        <v>-833.26</v>
      </c>
      <c r="J354" s="28">
        <v>337</v>
      </c>
    </row>
  </sheetData>
  <sortState xmlns:xlrd2="http://schemas.microsoft.com/office/spreadsheetml/2017/richdata2" ref="B19:J354">
    <sortCondition ref="J18:J354"/>
  </sortState>
  <mergeCells count="12">
    <mergeCell ref="C2:I2"/>
    <mergeCell ref="C3:I3"/>
    <mergeCell ref="C4:I4"/>
    <mergeCell ref="C5:I5"/>
    <mergeCell ref="C6:I6"/>
    <mergeCell ref="C7:I7"/>
    <mergeCell ref="B16:B17"/>
    <mergeCell ref="D16:F16"/>
    <mergeCell ref="G16:H16"/>
    <mergeCell ref="J16:J17"/>
    <mergeCell ref="B14:B15"/>
    <mergeCell ref="I16:I17"/>
  </mergeCells>
  <pageMargins left="0.25" right="0.25" top="0.75" bottom="0.75" header="0.3" footer="0.3"/>
  <pageSetup paperSize="9" scale="83" fitToHeight="0" orientation="portrait" horizontalDpi="120" verticalDpi="72" r:id="rId1"/>
  <headerFooter>
    <oddHeader>&amp;C
&amp;G</oddHeader>
    <oddFooter>&amp;C&amp;P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4:C20"/>
  <sheetViews>
    <sheetView topLeftCell="A9" workbookViewId="0">
      <selection activeCell="K11" sqref="K11"/>
    </sheetView>
  </sheetViews>
  <sheetFormatPr defaultRowHeight="15" x14ac:dyDescent="0.25"/>
  <cols>
    <col min="3" max="3" width="31.140625" customWidth="1"/>
  </cols>
  <sheetData>
    <row r="4" spans="3:3" x14ac:dyDescent="0.25">
      <c r="C4" s="17"/>
    </row>
    <row r="5" spans="3:3" x14ac:dyDescent="0.25">
      <c r="C5" s="17"/>
    </row>
    <row r="6" spans="3:3" x14ac:dyDescent="0.25">
      <c r="C6" s="17"/>
    </row>
    <row r="7" spans="3:3" x14ac:dyDescent="0.25">
      <c r="C7" s="17"/>
    </row>
    <row r="8" spans="3:3" x14ac:dyDescent="0.25">
      <c r="C8" s="17"/>
    </row>
    <row r="9" spans="3:3" x14ac:dyDescent="0.25">
      <c r="C9" s="17"/>
    </row>
    <row r="10" spans="3:3" x14ac:dyDescent="0.25">
      <c r="C10" s="17"/>
    </row>
    <row r="11" spans="3:3" x14ac:dyDescent="0.25">
      <c r="C11" s="17"/>
    </row>
    <row r="12" spans="3:3" x14ac:dyDescent="0.25">
      <c r="C12" s="17"/>
    </row>
    <row r="13" spans="3:3" x14ac:dyDescent="0.25">
      <c r="C13" s="18" t="s">
        <v>16</v>
      </c>
    </row>
    <row r="14" spans="3:3" x14ac:dyDescent="0.25">
      <c r="C14" s="17"/>
    </row>
    <row r="15" spans="3:3" x14ac:dyDescent="0.25">
      <c r="C15" s="17"/>
    </row>
    <row r="16" spans="3:3" x14ac:dyDescent="0.25">
      <c r="C16" s="17"/>
    </row>
    <row r="17" spans="3:3" x14ac:dyDescent="0.25">
      <c r="C17" s="17"/>
    </row>
    <row r="18" spans="3:3" x14ac:dyDescent="0.25">
      <c r="C18" s="17"/>
    </row>
    <row r="19" spans="3:3" x14ac:dyDescent="0.25">
      <c r="C19" s="17"/>
    </row>
    <row r="20" spans="3:3" x14ac:dyDescent="0.25">
      <c r="C20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FAC-30</vt:lpstr>
      <vt:lpstr>Sheet1</vt:lpstr>
      <vt:lpstr>'LOW FAC-30'!Print_Area</vt:lpstr>
      <vt:lpstr>'LOW FAC-30'!Print_Titles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IT Support</cp:lastModifiedBy>
  <cp:lastPrinted>2026-08-06T05:47:30Z</cp:lastPrinted>
  <dcterms:created xsi:type="dcterms:W3CDTF">2020-07-08T05:32:10Z</dcterms:created>
  <dcterms:modified xsi:type="dcterms:W3CDTF">2026-08-06T05:47:46Z</dcterms:modified>
</cp:coreProperties>
</file>